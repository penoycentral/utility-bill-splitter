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name="Jul-2026" sheetId="1" state="visible" r:id="rId1"/>
    <sheet name="Aug-2026" sheetId="2" state="visible" r:id="rId2"/>
    <sheet name="Sep-2026" sheetId="3" state="visible" r:id="rId3"/>
    <sheet name="Oct-2026" sheetId="4" state="visible" r:id="rId4"/>
    <sheet name="Nov-2026" sheetId="5" state="visible" r:id="rId5"/>
    <sheet name="Dec-2026" sheetId="6" state="visible" r:id="rId6"/>
    <sheet name="Jan-2027" sheetId="7" state="visible" r:id="rId7"/>
    <sheet name="Feb-2027" sheetId="8" state="visible" r:id="rId8"/>
    <sheet name="Mar-2027" sheetId="9" state="visible" r:id="rId9"/>
    <sheet name="Apr-2027" sheetId="10" state="visible" r:id="rId10"/>
    <sheet name="May-2027" sheetId="11" state="visible" r:id="rId11"/>
    <sheet name="Jun-2027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.00"/>
    <numFmt numFmtId="165" formatCode="d"/>
    <numFmt numFmtId="166" formatCode="dd\-mm\-yyyy"/>
  </numFmts>
  <fonts count="9">
    <font>
      <name val="Calibri"/>
      <family val="2"/>
      <color theme="1"/>
      <sz val="11"/>
      <scheme val="minor"/>
    </font>
    <font>
      <name val="Segoe UI"/>
      <b val="1"/>
      <color rgb="FF1F4E79"/>
      <sz val="16"/>
    </font>
    <font>
      <name val="Segoe UI"/>
      <i val="1"/>
      <color rgb="FF595959"/>
      <sz val="10"/>
    </font>
    <font>
      <name val="Segoe UI"/>
      <b val="1"/>
      <sz val="11"/>
    </font>
    <font>
      <name val="Segoe UI"/>
      <sz val="11"/>
    </font>
    <font>
      <name val="Segoe UI"/>
      <b val="1"/>
      <color rgb="FF1F4E79"/>
      <sz val="11"/>
    </font>
    <font>
      <name val="Segoe UI"/>
      <b val="1"/>
      <color rgb="FFFFFFFF"/>
      <sz val="11"/>
    </font>
    <font>
      <name val="Segoe UI"/>
      <i val="1"/>
      <color rgb="FF7F7F7F"/>
      <sz val="9"/>
    </font>
    <font>
      <name val="Segoe UI"/>
      <b val="1"/>
      <color rgb="FF375623"/>
      <sz val="10"/>
    </font>
  </fonts>
  <fills count="8">
    <fill>
      <patternFill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EAEFF7"/>
        <bgColor rgb="FFEAEFF7"/>
      </patternFill>
    </fill>
    <fill>
      <patternFill patternType="solid">
        <fgColor rgb="FF2F5597"/>
        <bgColor rgb="FF2F5597"/>
      </patternFill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4" fillId="2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2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3" fontId="3" fillId="3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6" fontId="4" fillId="2" borderId="1" applyAlignment="1" pivotButton="0" quotePrefix="0" xfId="0">
      <alignment horizontal="center" vertical="center"/>
    </xf>
  </cellXfs>
  <cellStyles count="1">
    <cellStyle name="Normal" xfId="0" builtinId="0"/>
  </cellStyles>
  <dxfs count="12">
    <dxf>
      <font>
        <name val="Segoe UI"/>
        <color rgb="FFBFBFBF"/>
      </font>
      <fill>
        <patternFill patternType="solid">
          <fgColor rgb="FFF2F2F2"/>
          <bgColor rgb="FFF2F2F2"/>
        </patternFill>
      </fill>
    </dxf>
    <dxf>
      <font>
        <name val="Segoe UI"/>
        <color rgb="FFBFBFBF"/>
      </font>
      <fill>
        <patternFill patternType="solid">
          <fgColor rgb="FFF2F2F2"/>
          <bgColor rgb="FFF2F2F2"/>
        </patternFill>
      </fill>
    </dxf>
    <dxf>
      <font>
        <name val="Segoe UI"/>
        <color rgb="FFBFBFBF"/>
      </font>
      <fill>
        <patternFill patternType="solid">
          <fgColor rgb="FFF2F2F2"/>
          <bgColor rgb="FFF2F2F2"/>
        </patternFill>
      </fill>
    </dxf>
    <dxf>
      <font>
        <name val="Segoe UI"/>
        <color rgb="FFBFBFBF"/>
      </font>
      <fill>
        <patternFill patternType="solid">
          <fgColor rgb="FFF2F2F2"/>
          <bgColor rgb="FFF2F2F2"/>
        </patternFill>
      </fill>
    </dxf>
    <dxf>
      <font>
        <name val="Segoe UI"/>
        <color rgb="FFBFBFBF"/>
      </font>
      <fill>
        <patternFill patternType="solid">
          <fgColor rgb="FFF2F2F2"/>
          <bgColor rgb="FFF2F2F2"/>
        </patternFill>
      </fill>
    </dxf>
    <dxf>
      <font>
        <name val="Segoe UI"/>
        <color rgb="FFBFBFBF"/>
      </font>
      <fill>
        <patternFill patternType="solid">
          <fgColor rgb="FFF2F2F2"/>
          <bgColor rgb="FFF2F2F2"/>
        </patternFill>
      </fill>
    </dxf>
    <dxf>
      <font>
        <name val="Segoe UI"/>
        <color rgb="FFBFBFBF"/>
      </font>
      <fill>
        <patternFill patternType="solid">
          <fgColor rgb="FFF2F2F2"/>
          <bgColor rgb="FFF2F2F2"/>
        </patternFill>
      </fill>
    </dxf>
    <dxf>
      <font>
        <name val="Segoe UI"/>
        <color rgb="FFBFBFBF"/>
      </font>
      <fill>
        <patternFill patternType="solid">
          <fgColor rgb="FFF2F2F2"/>
          <bgColor rgb="FFF2F2F2"/>
        </patternFill>
      </fill>
    </dxf>
    <dxf>
      <font>
        <name val="Segoe UI"/>
        <color rgb="FFBFBFBF"/>
      </font>
      <fill>
        <patternFill patternType="solid">
          <fgColor rgb="FFF2F2F2"/>
          <bgColor rgb="FFF2F2F2"/>
        </patternFill>
      </fill>
    </dxf>
    <dxf>
      <font>
        <name val="Segoe UI"/>
        <color rgb="FFBFBFBF"/>
      </font>
      <fill>
        <patternFill patternType="solid">
          <fgColor rgb="FFF2F2F2"/>
          <bgColor rgb="FFF2F2F2"/>
        </patternFill>
      </fill>
    </dxf>
    <dxf>
      <font>
        <name val="Segoe UI"/>
        <color rgb="FFBFBFBF"/>
      </font>
      <fill>
        <patternFill patternType="solid">
          <fgColor rgb="FFF2F2F2"/>
          <bgColor rgb="FFF2F2F2"/>
        </patternFill>
      </fill>
    </dxf>
    <dxf>
      <font>
        <name val="Segoe UI"/>
        <color rgb="FFBFBFBF"/>
      </font>
      <fill>
        <patternFill patternType="solid">
          <fgColor rgb="FFF2F2F2"/>
          <bgColor rgb="FF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"/>
  <sheetViews>
    <sheetView tabSelected="1" topLeftCell="A11" workbookViewId="0">
      <selection activeCell="C32" sqref="C32:AG32"/>
    </sheetView>
  </sheetViews>
  <sheetFormatPr baseColWidth="10" defaultColWidth="8.83203125" defaultRowHeight="15"/>
  <cols>
    <col width="24" customWidth="1" style="29" min="1" max="1"/>
    <col width="16" customWidth="1" style="29" min="2" max="2"/>
    <col width="22" customWidth="1" style="29" min="3" max="3"/>
    <col width="14.83203125" customWidth="1" style="29" min="4" max="4"/>
    <col width="12.6640625" customWidth="1" style="29" min="5" max="5"/>
    <col width="19.83203125" customWidth="1" style="29" min="6" max="6"/>
    <col width="18.6640625" customWidth="1" style="29" min="7" max="7"/>
    <col width="6" customWidth="1" style="29" min="8" max="33"/>
  </cols>
  <sheetData>
    <row r="1" ht="30" customHeight="1" s="29">
      <c r="A1" s="30" t="inlineStr">
        <is>
          <t>HOUSEHOLD UTILITY BILL CALCULATOR - JULY 2026</t>
        </is>
      </c>
    </row>
    <row r="2" ht="20" customHeight="1" s="29">
      <c r="A2" s="33" t="inlineStr">
        <is>
          <t>Distribute shared bills dynamically by days present or equal split. Edit the green shaded cells; formulas do the rest.</t>
        </is>
      </c>
    </row>
    <row r="4" ht="22" customHeight="1" s="29">
      <c r="A4" s="34" t="inlineStr">
        <is>
          <t>Billing Start Date:</t>
        </is>
      </c>
      <c r="B4" s="35" t="n">
        <v>46204</v>
      </c>
      <c r="C4" s="34" t="inlineStr">
        <is>
          <t>Billing End Date:</t>
        </is>
      </c>
      <c r="D4" s="35" t="n">
        <v>46234</v>
      </c>
      <c r="E4" s="34" t="inlineStr">
        <is>
          <t>Billing Period Days:</t>
        </is>
      </c>
      <c r="F4" s="3">
        <f>IF(AND($B$4&lt;&gt;"", $D$4&lt;&gt;""), IF(ISNUMBER($D$4), $D$4, DATEVALUE($D$4)) - IF(ISNUMBER($B$4), $B$4, DATEVALUE($B$4)) + 1, "")</f>
        <v/>
      </c>
    </row>
    <row r="6" ht="24" customHeight="1" s="29">
      <c r="A6" s="31" t="inlineStr">
        <is>
          <t>1. UTILITY CONFIGURATION</t>
        </is>
      </c>
    </row>
    <row r="7" ht="25" customHeight="1" s="29">
      <c r="A7" s="4" t="inlineStr">
        <is>
          <t>Utility Item</t>
        </is>
      </c>
      <c r="B7" s="5" t="inlineStr">
        <is>
          <t>Label Description</t>
        </is>
      </c>
      <c r="C7" s="6" t="inlineStr">
        <is>
          <t>PUB</t>
        </is>
      </c>
      <c r="D7" s="6" t="inlineStr">
        <is>
          <t>Internet</t>
        </is>
      </c>
      <c r="E7" s="6" t="inlineStr">
        <is>
          <t>Custom 1</t>
        </is>
      </c>
      <c r="F7" s="6" t="inlineStr">
        <is>
          <t>Custom 2</t>
        </is>
      </c>
      <c r="G7" s="7" t="inlineStr">
        <is>
          <t>TOTAL BILL</t>
        </is>
      </c>
    </row>
    <row r="8" ht="22" customHeight="1" s="29">
      <c r="A8" s="8" t="inlineStr">
        <is>
          <t>Total Bill Amount</t>
        </is>
      </c>
      <c r="B8" s="5" t="inlineStr">
        <is>
          <t>Enter costs -&gt;</t>
        </is>
      </c>
      <c r="C8" s="9" t="n">
        <v>150</v>
      </c>
      <c r="D8" s="9" t="n">
        <v>43.7</v>
      </c>
      <c r="E8" s="9" t="n">
        <v>0</v>
      </c>
      <c r="F8" s="9" t="n">
        <v>0</v>
      </c>
      <c r="G8" s="10">
        <f>SUM(C8:F8)</f>
        <v/>
      </c>
    </row>
    <row r="9" ht="22" customHeight="1" s="29">
      <c r="A9" s="8" t="inlineStr">
        <is>
          <t>Split Method</t>
        </is>
      </c>
      <c r="B9" s="5" t="inlineStr">
        <is>
          <t>Choose method -&gt;</t>
        </is>
      </c>
      <c r="C9" s="2" t="inlineStr">
        <is>
          <t>By Days Present</t>
        </is>
      </c>
      <c r="D9" s="2" t="inlineStr">
        <is>
          <t>Split (Top 3)</t>
        </is>
      </c>
      <c r="E9" s="2" t="inlineStr">
        <is>
          <t>Split Equally</t>
        </is>
      </c>
      <c r="F9" s="2" t="inlineStr">
        <is>
          <t>Split Equally</t>
        </is>
      </c>
      <c r="G9" s="11" t="n"/>
    </row>
    <row r="11" ht="24" customHeight="1" s="29">
      <c r="A11" s="31" t="inlineStr">
        <is>
          <t>2. OCCUPANT DETAIL &amp; BILL DIVISION</t>
        </is>
      </c>
    </row>
    <row r="12" ht="25" customHeight="1" s="29">
      <c r="A12" s="4" t="inlineStr">
        <is>
          <t>Occupant Name</t>
        </is>
      </c>
      <c r="B12" s="6" t="inlineStr">
        <is>
          <t>Days Present</t>
        </is>
      </c>
      <c r="C12" s="6" t="inlineStr">
        <is>
          <t>PUB Share</t>
        </is>
      </c>
      <c r="D12" s="6" t="inlineStr">
        <is>
          <t>Internet Share</t>
        </is>
      </c>
      <c r="E12" s="6" t="inlineStr">
        <is>
          <t>Custom 1</t>
        </is>
      </c>
      <c r="F12" s="6" t="inlineStr">
        <is>
          <t>Custom 2</t>
        </is>
      </c>
      <c r="G12" s="7" t="inlineStr">
        <is>
          <t>Total Owed</t>
        </is>
      </c>
    </row>
    <row r="13" ht="20" customHeight="1" s="29">
      <c r="A13" s="12" t="inlineStr">
        <is>
          <t>Alex</t>
        </is>
      </c>
      <c r="B13" s="13">
        <f>B29</f>
        <v/>
      </c>
      <c r="C13" s="14">
        <f>IF(ISBLANK($A13), "", IFERROR(IF(C$9="By Days Present", SUMPRODUCT((C$39:AG$39=0) + C29:AG29*(C$39:AG$39&gt;0), C$40:AG$40), IF(C$9="Split Equally", C$8 / COUNTA($A$13:$A$22), IF(C$9="Split (Top 3)", IF(ROW()&lt;=15, C$8 / 3, 0), 0))), 0))</f>
        <v/>
      </c>
      <c r="D13" s="14">
        <f>IF(ISBLANK($A13), "", IFERROR(IF(D$9="By Days Present", SUMPRODUCT(((C$39:AG$39=0)/COUNTA($A$13:$A$22) + (C29:AG29/(C$39:AG$39 + (C$39:AG$39=0)))*(C$39:AG$39&gt;0)), (C$28:AG$28&lt;&gt;"") * (D$8 / $F$4)), IF(D$9="Split Equally", D$8 / COUNTA($A$13:$A$22), IF(D$9="Split (Top 3)", IF(ROW()&lt;=15, D$8 / 3, 0), 0))), 0))</f>
        <v/>
      </c>
      <c r="E13" s="14">
        <f>IF(ISBLANK($A13), "", IFERROR(IF(E$9="By Days Present", SUMPRODUCT(((C$39:AG$39=0)/COUNTA($A$13:$A$22) + (C29:AG29/(C$39:AG$39 + (C$39:AG$39=0)))*(C$39:AG$39&gt;0)), (C$28:AG$28&lt;&gt;"") * (E$8 / $F$4)), IF(E$9="Split Equally", E$8 / COUNTA($A$13:$A$22), IF(E$9="Split (Top 3)", IF(ROW()&lt;=15, E$8 / 3, 0), 0))), 0))</f>
        <v/>
      </c>
      <c r="F13" s="14">
        <f>IF(ISBLANK($A13), "", IFERROR(IF(F$9="By Days Present", SUMPRODUCT(((C$39:AG$39=0)/COUNTA($A$13:$A$22) + (C29:AG29/(C$39:AG$39 + (C$39:AG$39=0)))*(C$39:AG$39&gt;0)), (C$28:AG$28&lt;&gt;"") * (F$8 / $F$4)), IF(F$9="Split Equally", F$8 / COUNTA($A$13:$A$22), IF(F$9="Split (Top 3)", IF(ROW()&lt;=15, F$8 / 3, 0), 0))), 0))</f>
        <v/>
      </c>
      <c r="G13" s="10">
        <f>IF(ISBLANK($A13), "", SUM(C13:F13))</f>
        <v/>
      </c>
    </row>
    <row r="14" ht="20" customHeight="1" s="29">
      <c r="A14" s="12" t="inlineStr">
        <is>
          <t>Jordan</t>
        </is>
      </c>
      <c r="B14" s="13">
        <f>B30</f>
        <v/>
      </c>
      <c r="C14" s="15">
        <f>IF(ISBLANK($A14), "", IFERROR(IF(C$9="By Days Present", SUMPRODUCT((C$39:AG$39=0) + C30:AG30*(C$39:AG$39&gt;0), C$40:AG$40), IF(C$9="Split Equally", C$8 / COUNTA($A$13:$A$22), IF(C$9="Split (Top 3)", IF(ROW()&lt;=15, C$8 / 3, 0), 0))), 0))</f>
        <v/>
      </c>
      <c r="D14" s="15">
        <f>IF(ISBLANK($A14), "", IFERROR(IF(D$9="By Days Present", SUMPRODUCT(((C$39:AG$39=0)/COUNTA($A$13:$A$22) + (C30:AG30/(C$39:AG$39 + (C$39:AG$39=0)))*(C$39:AG$39&gt;0)), (C$28:AG$28&lt;&gt;"") * (D$8 / $F$4)), IF(D$9="Split Equally", D$8 / COUNTA($A$13:$A$22), IF(D$9="Split (Top 3)", IF(ROW()&lt;=15, D$8 / 3, 0), 0))), 0))</f>
        <v/>
      </c>
      <c r="E14" s="15">
        <f>IF(ISBLANK($A14), "", IFERROR(IF(E$9="By Days Present", SUMPRODUCT(((C$39:AG$39=0)/COUNTA($A$13:$A$22) + (C30:AG30/(C$39:AG$39 + (C$39:AG$39=0)))*(C$39:AG$39&gt;0)), (C$28:AG$28&lt;&gt;"") * (E$8 / $F$4)), IF(E$9="Split Equally", E$8 / COUNTA($A$13:$A$22), IF(E$9="Split (Top 3)", IF(ROW()&lt;=15, E$8 / 3, 0), 0))), 0))</f>
        <v/>
      </c>
      <c r="F14" s="15">
        <f>IF(ISBLANK($A14), "", IFERROR(IF(F$9="By Days Present", SUMPRODUCT(((C$39:AG$39=0)/COUNTA($A$13:$A$22) + (C30:AG30/(C$39:AG$39 + (C$39:AG$39=0)))*(C$39:AG$39&gt;0)), (C$28:AG$28&lt;&gt;"") * (F$8 / $F$4)), IF(F$9="Split Equally", F$8 / COUNTA($A$13:$A$22), IF(F$9="Split (Top 3)", IF(ROW()&lt;=15, F$8 / 3, 0), 0))), 0))</f>
        <v/>
      </c>
      <c r="G14" s="10">
        <f>IF(ISBLANK($A14), "", SUM(C14:F14))</f>
        <v/>
      </c>
    </row>
    <row r="15" ht="20" customHeight="1" s="29">
      <c r="A15" s="12" t="inlineStr">
        <is>
          <t>Morgan</t>
        </is>
      </c>
      <c r="B15" s="13">
        <f>B31</f>
        <v/>
      </c>
      <c r="C15" s="14">
        <f>IF(ISBLANK($A15), "", IFERROR(IF(C$9="By Days Present", SUMPRODUCT((C$39:AG$39=0) + C31:AG31*(C$39:AG$39&gt;0), C$40:AG$40), IF(C$9="Split Equally", C$8 / COUNTA($A$13:$A$22), IF(C$9="Split (Top 3)", IF(ROW()&lt;=15, C$8 / 3, 0), 0))), 0))</f>
        <v/>
      </c>
      <c r="D15" s="14">
        <f>IF(ISBLANK($A15), "", IFERROR(IF(D$9="By Days Present", SUMPRODUCT(((C$39:AG$39=0)/COUNTA($A$13:$A$22) + (C31:AG31/(C$39:AG$39 + (C$39:AG$39=0)))*(C$39:AG$39&gt;0)), (C$28:AG$28&lt;&gt;"") * (D$8 / $F$4)), IF(D$9="Split Equally", D$8 / COUNTA($A$13:$A$22), IF(D$9="Split (Top 3)", IF(ROW()&lt;=15, D$8 / 3, 0), 0))), 0))</f>
        <v/>
      </c>
      <c r="E15" s="14">
        <f>IF(ISBLANK($A15), "", IFERROR(IF(E$9="By Days Present", SUMPRODUCT(((C$39:AG$39=0)/COUNTA($A$13:$A$22) + (C31:AG31/(C$39:AG$39 + (C$39:AG$39=0)))*(C$39:AG$39&gt;0)), (C$28:AG$28&lt;&gt;"") * (E$8 / $F$4)), IF(E$9="Split Equally", E$8 / COUNTA($A$13:$A$22), IF(E$9="Split (Top 3)", IF(ROW()&lt;=15, E$8 / 3, 0), 0))), 0))</f>
        <v/>
      </c>
      <c r="F15" s="14">
        <f>IF(ISBLANK($A15), "", IFERROR(IF(F$9="By Days Present", SUMPRODUCT(((C$39:AG$39=0)/COUNTA($A$13:$A$22) + (C31:AG31/(C$39:AG$39 + (C$39:AG$39=0)))*(C$39:AG$39&gt;0)), (C$28:AG$28&lt;&gt;"") * (F$8 / $F$4)), IF(F$9="Split Equally", F$8 / COUNTA($A$13:$A$22), IF(F$9="Split (Top 3)", IF(ROW()&lt;=15, F$8 / 3, 0), 0))), 0))</f>
        <v/>
      </c>
      <c r="G15" s="10">
        <f>IF(ISBLANK($A15), "", SUM(C15:F15))</f>
        <v/>
      </c>
    </row>
    <row r="16" ht="20" customHeight="1" s="29">
      <c r="A16" s="12" t="inlineStr">
        <is>
          <t>Taylor</t>
        </is>
      </c>
      <c r="B16" s="13">
        <f>B32</f>
        <v/>
      </c>
      <c r="C16" s="15">
        <f>IF(ISBLANK($A16), "", IFERROR(IF(C$9="By Days Present", SUMPRODUCT((C$39:AG$39=0) + C32:AG32*(C$39:AG$39&gt;0), C$40:AG$40), IF(C$9="Split Equally", C$8 / COUNTA($A$13:$A$22), IF(C$9="Split (Top 3)", IF(ROW()&lt;=15, C$8 / 3, 0), 0))), 0))</f>
        <v/>
      </c>
      <c r="D16" s="15">
        <f>IF(ISBLANK($A16), "", IFERROR(IF(D$9="By Days Present", SUMPRODUCT(((C$39:AG$39=0)/COUNTA($A$13:$A$22) + (C32:AG32/(C$39:AG$39 + (C$39:AG$39=0)))*(C$39:AG$39&gt;0)), (C$28:AG$28&lt;&gt;"") * (D$8 / $F$4)), IF(D$9="Split Equally", D$8 / COUNTA($A$13:$A$22), IF(D$9="Split (Top 3)", IF(ROW()&lt;=15, D$8 / 3, 0), 0))), 0))</f>
        <v/>
      </c>
      <c r="E16" s="15">
        <f>IF(ISBLANK($A16), "", IFERROR(IF(E$9="By Days Present", SUMPRODUCT(((C$39:AG$39=0)/COUNTA($A$13:$A$22) + (C32:AG32/(C$39:AG$39 + (C$39:AG$39=0)))*(C$39:AG$39&gt;0)), (C$28:AG$28&lt;&gt;"") * (E$8 / $F$4)), IF(E$9="Split Equally", E$8 / COUNTA($A$13:$A$22), IF(E$9="Split (Top 3)", IF(ROW()&lt;=15, E$8 / 3, 0), 0))), 0))</f>
        <v/>
      </c>
      <c r="F16" s="15">
        <f>IF(ISBLANK($A16), "", IFERROR(IF(F$9="By Days Present", SUMPRODUCT(((C$39:AG$39=0)/COUNTA($A$13:$A$22) + (C32:AG32/(C$39:AG$39 + (C$39:AG$39=0)))*(C$39:AG$39&gt;0)), (C$28:AG$28&lt;&gt;"") * (F$8 / $F$4)), IF(F$9="Split Equally", F$8 / COUNTA($A$13:$A$22), IF(F$9="Split (Top 3)", IF(ROW()&lt;=15, F$8 / 3, 0), 0))), 0))</f>
        <v/>
      </c>
      <c r="G16" s="10">
        <f>IF(ISBLANK($A16), "", SUM(C16:F16))</f>
        <v/>
      </c>
    </row>
    <row r="17" ht="20" customHeight="1" s="29">
      <c r="A17" s="12" t="n"/>
      <c r="B17" s="13">
        <f>B33</f>
        <v/>
      </c>
      <c r="C17" s="14">
        <f>IF(ISBLANK($A17), "", IFERROR(IF(C$9="By Days Present", SUMPRODUCT((C$39:AG$39=0) + C33:AG33*(C$39:AG$39&gt;0), C$40:AG$40), IF(C$9="Split Equally", C$8 / COUNTA($A$13:$A$22), IF(C$9="Split (Top 3)", IF(ROW()&lt;=15, C$8 / 3, 0), 0))), 0))</f>
        <v/>
      </c>
      <c r="D17" s="14">
        <f>IF(ISBLANK($A17), "", IFERROR(IF(D$9="By Days Present", SUMPRODUCT(((C$39:AG$39=0)/COUNTA($A$13:$A$22) + (C33:AG33/(C$39:AG$39 + (C$39:AG$39=0)))*(C$39:AG$39&gt;0)), (C$28:AG$28&lt;&gt;"") * (D$8 / $F$4)), IF(D$9="Split Equally", D$8 / COUNTA($A$13:$A$22), IF(D$9="Split (Top 3)", IF(ROW()&lt;=15, D$8 / 3, 0), 0))), 0))</f>
        <v/>
      </c>
      <c r="E17" s="14">
        <f>IF(ISBLANK($A17), "", IFERROR(IF(E$9="By Days Present", SUMPRODUCT(((C$39:AG$39=0)/COUNTA($A$13:$A$22) + (C33:AG33/(C$39:AG$39 + (C$39:AG$39=0)))*(C$39:AG$39&gt;0)), (C$28:AG$28&lt;&gt;"") * (E$8 / $F$4)), IF(E$9="Split Equally", E$8 / COUNTA($A$13:$A$22), IF(E$9="Split (Top 3)", IF(ROW()&lt;=15, E$8 / 3, 0), 0))), 0))</f>
        <v/>
      </c>
      <c r="F17" s="14">
        <f>IF(ISBLANK($A17), "", IFERROR(IF(F$9="By Days Present", SUMPRODUCT(((C$39:AG$39=0)/COUNTA($A$13:$A$22) + (C33:AG33/(C$39:AG$39 + (C$39:AG$39=0)))*(C$39:AG$39&gt;0)), (C$28:AG$28&lt;&gt;"") * (F$8 / $F$4)), IF(F$9="Split Equally", F$8 / COUNTA($A$13:$A$22), IF(F$9="Split (Top 3)", IF(ROW()&lt;=15, F$8 / 3, 0), 0))), 0))</f>
        <v/>
      </c>
      <c r="G17" s="10">
        <f>IF(ISBLANK($A17), "", SUM(C17:F17))</f>
        <v/>
      </c>
    </row>
    <row r="18" ht="20" customHeight="1" s="29">
      <c r="A18" s="12" t="n"/>
      <c r="B18" s="13">
        <f>B34</f>
        <v/>
      </c>
      <c r="C18" s="15">
        <f>IF(ISBLANK($A18), "", IFERROR(IF(C$9="By Days Present", SUMPRODUCT((C$39:AG$39=0) + C34:AG34*(C$39:AG$39&gt;0), C$40:AG$40), IF(C$9="Split Equally", C$8 / COUNTA($A$13:$A$22), IF(C$9="Split (Top 3)", IF(ROW()&lt;=15, C$8 / 3, 0), 0))), 0))</f>
        <v/>
      </c>
      <c r="D18" s="15">
        <f>IF(ISBLANK($A18), "", IFERROR(IF(D$9="By Days Present", SUMPRODUCT(((C$39:AG$39=0)/COUNTA($A$13:$A$22) + (C34:AG34/(C$39:AG$39 + (C$39:AG$39=0)))*(C$39:AG$39&gt;0)), (C$28:AG$28&lt;&gt;"") * (D$8 / $F$4)), IF(D$9="Split Equally", D$8 / COUNTA($A$13:$A$22), IF(D$9="Split (Top 3)", IF(ROW()&lt;=15, D$8 / 3, 0), 0))), 0))</f>
        <v/>
      </c>
      <c r="E18" s="15">
        <f>IF(ISBLANK($A18), "", IFERROR(IF(E$9="By Days Present", SUMPRODUCT(((C$39:AG$39=0)/COUNTA($A$13:$A$22) + (C34:AG34/(C$39:AG$39 + (C$39:AG$39=0)))*(C$39:AG$39&gt;0)), (C$28:AG$28&lt;&gt;"") * (E$8 / $F$4)), IF(E$9="Split Equally", E$8 / COUNTA($A$13:$A$22), IF(E$9="Split (Top 3)", IF(ROW()&lt;=15, E$8 / 3, 0), 0))), 0))</f>
        <v/>
      </c>
      <c r="F18" s="15">
        <f>IF(ISBLANK($A18), "", IFERROR(IF(F$9="By Days Present", SUMPRODUCT(((C$39:AG$39=0)/COUNTA($A$13:$A$22) + (C34:AG34/(C$39:AG$39 + (C$39:AG$39=0)))*(C$39:AG$39&gt;0)), (C$28:AG$28&lt;&gt;"") * (F$8 / $F$4)), IF(F$9="Split Equally", F$8 / COUNTA($A$13:$A$22), IF(F$9="Split (Top 3)", IF(ROW()&lt;=15, F$8 / 3, 0), 0))), 0))</f>
        <v/>
      </c>
      <c r="G18" s="10">
        <f>IF(ISBLANK($A18), "", SUM(C18:F18))</f>
        <v/>
      </c>
    </row>
    <row r="19" ht="20" customHeight="1" s="29">
      <c r="A19" s="12" t="n"/>
      <c r="B19" s="13">
        <f>B35</f>
        <v/>
      </c>
      <c r="C19" s="14">
        <f>IF(ISBLANK($A19), "", IFERROR(IF(C$9="By Days Present", SUMPRODUCT((C$39:AG$39=0) + C35:AG35*(C$39:AG$39&gt;0), C$40:AG$40), IF(C$9="Split Equally", C$8 / COUNTA($A$13:$A$22), IF(C$9="Split (Top 3)", IF(ROW()&lt;=15, C$8 / 3, 0), 0))), 0))</f>
        <v/>
      </c>
      <c r="D19" s="14">
        <f>IF(ISBLANK($A19), "", IFERROR(IF(D$9="By Days Present", SUMPRODUCT(((C$39:AG$39=0)/COUNTA($A$13:$A$22) + (C35:AG35/(C$39:AG$39 + (C$39:AG$39=0)))*(C$39:AG$39&gt;0)), (C$28:AG$28&lt;&gt;"") * (D$8 / $F$4)), IF(D$9="Split Equally", D$8 / COUNTA($A$13:$A$22), IF(D$9="Split (Top 3)", IF(ROW()&lt;=15, D$8 / 3, 0), 0))), 0))</f>
        <v/>
      </c>
      <c r="E19" s="14">
        <f>IF(ISBLANK($A19), "", IFERROR(IF(E$9="By Days Present", SUMPRODUCT(((C$39:AG$39=0)/COUNTA($A$13:$A$22) + (C35:AG35/(C$39:AG$39 + (C$39:AG$39=0)))*(C$39:AG$39&gt;0)), (C$28:AG$28&lt;&gt;"") * (E$8 / $F$4)), IF(E$9="Split Equally", E$8 / COUNTA($A$13:$A$22), IF(E$9="Split (Top 3)", IF(ROW()&lt;=15, E$8 / 3, 0), 0))), 0))</f>
        <v/>
      </c>
      <c r="F19" s="14">
        <f>IF(ISBLANK($A19), "", IFERROR(IF(F$9="By Days Present", SUMPRODUCT(((C$39:AG$39=0)/COUNTA($A$13:$A$22) + (C35:AG35/(C$39:AG$39 + (C$39:AG$39=0)))*(C$39:AG$39&gt;0)), (C$28:AG$28&lt;&gt;"") * (F$8 / $F$4)), IF(F$9="Split Equally", F$8 / COUNTA($A$13:$A$22), IF(F$9="Split (Top 3)", IF(ROW()&lt;=15, F$8 / 3, 0), 0))), 0))</f>
        <v/>
      </c>
      <c r="G19" s="10">
        <f>IF(ISBLANK($A19), "", SUM(C19:F19))</f>
        <v/>
      </c>
    </row>
    <row r="20" ht="20" customHeight="1" s="29">
      <c r="A20" s="12" t="n"/>
      <c r="B20" s="13">
        <f>B36</f>
        <v/>
      </c>
      <c r="C20" s="15">
        <f>IF(ISBLANK($A20), "", IFERROR(IF(C$9="By Days Present", SUMPRODUCT((C$39:AG$39=0) + C36:AG36*(C$39:AG$39&gt;0), C$40:AG$40), IF(C$9="Split Equally", C$8 / COUNTA($A$13:$A$22), IF(C$9="Split (Top 3)", IF(ROW()&lt;=15, C$8 / 3, 0), 0))), 0))</f>
        <v/>
      </c>
      <c r="D20" s="15">
        <f>IF(ISBLANK($A20), "", IFERROR(IF(D$9="By Days Present", SUMPRODUCT(((C$39:AG$39=0)/COUNTA($A$13:$A$22) + (C36:AG36/(C$39:AG$39 + (C$39:AG$39=0)))*(C$39:AG$39&gt;0)), (C$28:AG$28&lt;&gt;"") * (D$8 / $F$4)), IF(D$9="Split Equally", D$8 / COUNTA($A$13:$A$22), IF(D$9="Split (Top 3)", IF(ROW()&lt;=15, D$8 / 3, 0), 0))), 0))</f>
        <v/>
      </c>
      <c r="E20" s="15">
        <f>IF(ISBLANK($A20), "", IFERROR(IF(E$9="By Days Present", SUMPRODUCT(((C$39:AG$39=0)/COUNTA($A$13:$A$22) + (C36:AG36/(C$39:AG$39 + (C$39:AG$39=0)))*(C$39:AG$39&gt;0)), (C$28:AG$28&lt;&gt;"") * (E$8 / $F$4)), IF(E$9="Split Equally", E$8 / COUNTA($A$13:$A$22), IF(E$9="Split (Top 3)", IF(ROW()&lt;=15, E$8 / 3, 0), 0))), 0))</f>
        <v/>
      </c>
      <c r="F20" s="15">
        <f>IF(ISBLANK($A20), "", IFERROR(IF(F$9="By Days Present", SUMPRODUCT(((C$39:AG$39=0)/COUNTA($A$13:$A$22) + (C36:AG36/(C$39:AG$39 + (C$39:AG$39=0)))*(C$39:AG$39&gt;0)), (C$28:AG$28&lt;&gt;"") * (F$8 / $F$4)), IF(F$9="Split Equally", F$8 / COUNTA($A$13:$A$22), IF(F$9="Split (Top 3)", IF(ROW()&lt;=15, F$8 / 3, 0), 0))), 0))</f>
        <v/>
      </c>
      <c r="G20" s="10">
        <f>IF(ISBLANK($A20), "", SUM(C20:F20))</f>
        <v/>
      </c>
    </row>
    <row r="21" ht="20" customHeight="1" s="29">
      <c r="A21" s="12" t="n"/>
      <c r="B21" s="13">
        <f>B37</f>
        <v/>
      </c>
      <c r="C21" s="14">
        <f>IF(ISBLANK($A21), "", IFERROR(IF(C$9="By Days Present", SUMPRODUCT((C$39:AG$39=0) + C37:AG37*(C$39:AG$39&gt;0), C$40:AG$40), IF(C$9="Split Equally", C$8 / COUNTA($A$13:$A$22), IF(C$9="Split (Top 3)", IF(ROW()&lt;=15, C$8 / 3, 0), 0))), 0))</f>
        <v/>
      </c>
      <c r="D21" s="14">
        <f>IF(ISBLANK($A21), "", IFERROR(IF(D$9="By Days Present", SUMPRODUCT(((C$39:AG$39=0)/COUNTA($A$13:$A$22) + (C37:AG37/(C$39:AG$39 + (C$39:AG$39=0)))*(C$39:AG$39&gt;0)), (C$28:AG$28&lt;&gt;"") * (D$8 / $F$4)), IF(D$9="Split Equally", D$8 / COUNTA($A$13:$A$22), IF(D$9="Split (Top 3)", IF(ROW()&lt;=15, D$8 / 3, 0), 0))), 0))</f>
        <v/>
      </c>
      <c r="E21" s="14">
        <f>IF(ISBLANK($A21), "", IFERROR(IF(E$9="By Days Present", SUMPRODUCT(((C$39:AG$39=0)/COUNTA($A$13:$A$22) + (C37:AG37/(C$39:AG$39 + (C$39:AG$39=0)))*(C$39:AG$39&gt;0)), (C$28:AG$28&lt;&gt;"") * (E$8 / $F$4)), IF(E$9="Split Equally", E$8 / COUNTA($A$13:$A$22), IF(E$9="Split (Top 3)", IF(ROW()&lt;=15, E$8 / 3, 0), 0))), 0))</f>
        <v/>
      </c>
      <c r="F21" s="14">
        <f>IF(ISBLANK($A21), "", IFERROR(IF(F$9="By Days Present", SUMPRODUCT(((C$39:AG$39=0)/COUNTA($A$13:$A$22) + (C37:AG37/(C$39:AG$39 + (C$39:AG$39=0)))*(C$39:AG$39&gt;0)), (C$28:AG$28&lt;&gt;"") * (F$8 / $F$4)), IF(F$9="Split Equally", F$8 / COUNTA($A$13:$A$22), IF(F$9="Split (Top 3)", IF(ROW()&lt;=15, F$8 / 3, 0), 0))), 0))</f>
        <v/>
      </c>
      <c r="G21" s="10">
        <f>IF(ISBLANK($A21), "", SUM(C21:F21))</f>
        <v/>
      </c>
    </row>
    <row r="22" ht="20" customHeight="1" s="29">
      <c r="A22" s="12" t="n"/>
      <c r="B22" s="13">
        <f>B38</f>
        <v/>
      </c>
      <c r="C22" s="15">
        <f>IF(ISBLANK($A22), "", IFERROR(IF(C$9="By Days Present", SUMPRODUCT((C$39:AG$39=0) + C38:AG38*(C$39:AG$39&gt;0), C$40:AG$40), IF(C$9="Split Equally", C$8 / COUNTA($A$13:$A$22), IF(C$9="Split (Top 3)", IF(ROW()&lt;=15, C$8 / 3, 0), 0))), 0))</f>
        <v/>
      </c>
      <c r="D22" s="15">
        <f>IF(ISBLANK($A22), "", IFERROR(IF(D$9="By Days Present", SUMPRODUCT(((C$39:AG$39=0)/COUNTA($A$13:$A$22) + (C38:AG38/(C$39:AG$39 + (C$39:AG$39=0)))*(C$39:AG$39&gt;0)), (C$28:AG$28&lt;&gt;"") * (D$8 / $F$4)), IF(D$9="Split Equally", D$8 / COUNTA($A$13:$A$22), IF(D$9="Split (Top 3)", IF(ROW()&lt;=15, D$8 / 3, 0), 0))), 0))</f>
        <v/>
      </c>
      <c r="E22" s="15">
        <f>IF(ISBLANK($A22), "", IFERROR(IF(E$9="By Days Present", SUMPRODUCT(((C$39:AG$39=0)/COUNTA($A$13:$A$22) + (C38:AG38/(C$39:AG$39 + (C$39:AG$39=0)))*(C$39:AG$39&gt;0)), (C$28:AG$28&lt;&gt;"") * (E$8 / $F$4)), IF(E$9="Split Equally", E$8 / COUNTA($A$13:$A$22), IF(E$9="Split (Top 3)", IF(ROW()&lt;=15, E$8 / 3, 0), 0))), 0))</f>
        <v/>
      </c>
      <c r="F22" s="15">
        <f>IF(ISBLANK($A22), "", IFERROR(IF(F$9="By Days Present", SUMPRODUCT(((C$39:AG$39=0)/COUNTA($A$13:$A$22) + (C38:AG38/(C$39:AG$39 + (C$39:AG$39=0)))*(C$39:AG$39&gt;0)), (C$28:AG$28&lt;&gt;"") * (F$8 / $F$4)), IF(F$9="Split Equally", F$8 / COUNTA($A$13:$A$22), IF(F$9="Split (Top 3)", IF(ROW()&lt;=15, F$8 / 3, 0), 0))), 0))</f>
        <v/>
      </c>
      <c r="G22" s="10">
        <f>IF(ISBLANK($A22), "", SUM(C22:F22))</f>
        <v/>
      </c>
    </row>
    <row r="23" ht="22" customHeight="1" s="29">
      <c r="A23" s="16" t="inlineStr">
        <is>
          <t>Total Allocated Share</t>
        </is>
      </c>
      <c r="B23" s="17">
        <f>SUM(B13:B22)</f>
        <v/>
      </c>
      <c r="C23" s="18">
        <f>SUM(C13:C22)</f>
        <v/>
      </c>
      <c r="D23" s="18">
        <f>SUM(D13:D22)</f>
        <v/>
      </c>
      <c r="E23" s="18">
        <f>SUM(E13:E22)</f>
        <v/>
      </c>
      <c r="F23" s="18">
        <f>SUM(F13:F22)</f>
        <v/>
      </c>
      <c r="G23" s="18">
        <f>SUM(G13:G22)</f>
        <v/>
      </c>
    </row>
    <row r="24" ht="22" customHeight="1" s="29">
      <c r="A24" s="8" t="inlineStr">
        <is>
          <t>Actual Total Bill Amount</t>
        </is>
      </c>
      <c r="B24" s="11" t="n"/>
      <c r="C24" s="14">
        <f>C8</f>
        <v/>
      </c>
      <c r="D24" s="14">
        <f>D8</f>
        <v/>
      </c>
      <c r="E24" s="14">
        <f>E8</f>
        <v/>
      </c>
      <c r="F24" s="14">
        <f>F8</f>
        <v/>
      </c>
      <c r="G24" s="19">
        <f>G8</f>
        <v/>
      </c>
    </row>
    <row r="25" ht="22" customHeight="1" s="29">
      <c r="A25" s="8" t="inlineStr">
        <is>
          <t>Reconciliation Status</t>
        </is>
      </c>
      <c r="B25" s="11" t="n"/>
      <c r="C25" s="20">
        <f>IF(ABS(C23-C24)&lt;0.01, "✔ Balanced", "❌ Unbalanced")</f>
        <v/>
      </c>
      <c r="D25" s="20">
        <f>IF(ABS(D23-D24)&lt;0.01, "✔ Balanced", "❌ Unbalanced")</f>
        <v/>
      </c>
      <c r="E25" s="20">
        <f>IF(ABS(E23-E24)&lt;0.01, "✔ Balanced", "❌ Unbalanced")</f>
        <v/>
      </c>
      <c r="F25" s="20">
        <f>IF(ABS(F23-F24)&lt;0.01, "✔ Balanced", "❌ Unbalanced")</f>
        <v/>
      </c>
      <c r="G25" s="20">
        <f>IF(ABS(G23-G24)&lt;0.01, "✔ Balanced", "❌ Unbalanced")</f>
        <v/>
      </c>
    </row>
    <row r="27" ht="24" customHeight="1" s="29">
      <c r="A27" s="31" t="inlineStr">
        <is>
          <t>3. DAILY OCCUPANCY TRACKER (Simply enter '1' for each day an occupant is present; leave blank or enter '0' if absent)</t>
        </is>
      </c>
    </row>
    <row r="28" ht="25" customHeight="1" s="29">
      <c r="A28" s="4" t="inlineStr">
        <is>
          <t>Occupant Name</t>
        </is>
      </c>
      <c r="B28" s="6" t="inlineStr">
        <is>
          <t>Total Days</t>
        </is>
      </c>
      <c r="C28" s="21">
        <f>IF(OR($B$4="", ISBLANK($B$4)), "", IF(ISNUMBER($B$4), $B$4, DATEVALUE($B$4)))</f>
        <v/>
      </c>
      <c r="D28" s="21">
        <f>IF(C28="", "", IF(C28+1 &lt;= IF(ISNUMBER($D$4), $D$4, DATEVALUE($D$4)), C28+1, ""))</f>
        <v/>
      </c>
      <c r="E28" s="21">
        <f>IF(D28="", "", IF(D28+1 &lt;= IF(ISNUMBER($D$4), $D$4, DATEVALUE($D$4)), D28+1, ""))</f>
        <v/>
      </c>
      <c r="F28" s="21">
        <f>IF(E28="", "", IF(E28+1 &lt;= IF(ISNUMBER($D$4), $D$4, DATEVALUE($D$4)), E28+1, ""))</f>
        <v/>
      </c>
      <c r="G28" s="21">
        <f>IF(F28="", "", IF(F28+1 &lt;= IF(ISNUMBER($D$4), $D$4, DATEVALUE($D$4)), F28+1, ""))</f>
        <v/>
      </c>
      <c r="H28" s="21">
        <f>IF(G28="", "", IF(G28+1 &lt;= IF(ISNUMBER($D$4), $D$4, DATEVALUE($D$4)), G28+1, ""))</f>
        <v/>
      </c>
      <c r="I28" s="21">
        <f>IF(H28="", "", IF(H28+1 &lt;= IF(ISNUMBER($D$4), $D$4, DATEVALUE($D$4)), H28+1, ""))</f>
        <v/>
      </c>
      <c r="J28" s="21">
        <f>IF(I28="", "", IF(I28+1 &lt;= IF(ISNUMBER($D$4), $D$4, DATEVALUE($D$4)), I28+1, ""))</f>
        <v/>
      </c>
      <c r="K28" s="21">
        <f>IF(J28="", "", IF(J28+1 &lt;= IF(ISNUMBER($D$4), $D$4, DATEVALUE($D$4)), J28+1, ""))</f>
        <v/>
      </c>
      <c r="L28" s="21">
        <f>IF(K28="", "", IF(K28+1 &lt;= IF(ISNUMBER($D$4), $D$4, DATEVALUE($D$4)), K28+1, ""))</f>
        <v/>
      </c>
      <c r="M28" s="21">
        <f>IF(L28="", "", IF(L28+1 &lt;= IF(ISNUMBER($D$4), $D$4, DATEVALUE($D$4)), L28+1, ""))</f>
        <v/>
      </c>
      <c r="N28" s="21">
        <f>IF(M28="", "", IF(M28+1 &lt;= IF(ISNUMBER($D$4), $D$4, DATEVALUE($D$4)), M28+1, ""))</f>
        <v/>
      </c>
      <c r="O28" s="21">
        <f>IF(N28="", "", IF(N28+1 &lt;= IF(ISNUMBER($D$4), $D$4, DATEVALUE($D$4)), N28+1, ""))</f>
        <v/>
      </c>
      <c r="P28" s="21">
        <f>IF(O28="", "", IF(O28+1 &lt;= IF(ISNUMBER($D$4), $D$4, DATEVALUE($D$4)), O28+1, ""))</f>
        <v/>
      </c>
      <c r="Q28" s="21">
        <f>IF(P28="", "", IF(P28+1 &lt;= IF(ISNUMBER($D$4), $D$4, DATEVALUE($D$4)), P28+1, ""))</f>
        <v/>
      </c>
      <c r="R28" s="21">
        <f>IF(Q28="", "", IF(Q28+1 &lt;= IF(ISNUMBER($D$4), $D$4, DATEVALUE($D$4)), Q28+1, ""))</f>
        <v/>
      </c>
      <c r="S28" s="21">
        <f>IF(R28="", "", IF(R28+1 &lt;= IF(ISNUMBER($D$4), $D$4, DATEVALUE($D$4)), R28+1, ""))</f>
        <v/>
      </c>
      <c r="T28" s="21">
        <f>IF(S28="", "", IF(S28+1 &lt;= IF(ISNUMBER($D$4), $D$4, DATEVALUE($D$4)), S28+1, ""))</f>
        <v/>
      </c>
      <c r="U28" s="21">
        <f>IF(T28="", "", IF(T28+1 &lt;= IF(ISNUMBER($D$4), $D$4, DATEVALUE($D$4)), T28+1, ""))</f>
        <v/>
      </c>
      <c r="V28" s="21">
        <f>IF(U28="", "", IF(U28+1 &lt;= IF(ISNUMBER($D$4), $D$4, DATEVALUE($D$4)), U28+1, ""))</f>
        <v/>
      </c>
      <c r="W28" s="21">
        <f>IF(V28="", "", IF(V28+1 &lt;= IF(ISNUMBER($D$4), $D$4, DATEVALUE($D$4)), V28+1, ""))</f>
        <v/>
      </c>
      <c r="X28" s="21">
        <f>IF(W28="", "", IF(W28+1 &lt;= IF(ISNUMBER($D$4), $D$4, DATEVALUE($D$4)), W28+1, ""))</f>
        <v/>
      </c>
      <c r="Y28" s="21">
        <f>IF(X28="", "", IF(X28+1 &lt;= IF(ISNUMBER($D$4), $D$4, DATEVALUE($D$4)), X28+1, ""))</f>
        <v/>
      </c>
      <c r="Z28" s="21">
        <f>IF(Y28="", "", IF(Y28+1 &lt;= IF(ISNUMBER($D$4), $D$4, DATEVALUE($D$4)), Y28+1, ""))</f>
        <v/>
      </c>
      <c r="AA28" s="21">
        <f>IF(Z28="", "", IF(Z28+1 &lt;= IF(ISNUMBER($D$4), $D$4, DATEVALUE($D$4)), Z28+1, ""))</f>
        <v/>
      </c>
      <c r="AB28" s="21">
        <f>IF(AA28="", "", IF(AA28+1 &lt;= IF(ISNUMBER($D$4), $D$4, DATEVALUE($D$4)), AA28+1, ""))</f>
        <v/>
      </c>
      <c r="AC28" s="21">
        <f>IF(AB28="", "", IF(AB28+1 &lt;= IF(ISNUMBER($D$4), $D$4, DATEVALUE($D$4)), AB28+1, ""))</f>
        <v/>
      </c>
      <c r="AD28" s="21">
        <f>IF(AC28="", "", IF(AC28+1 &lt;= IF(ISNUMBER($D$4), $D$4, DATEVALUE($D$4)), AC28+1, ""))</f>
        <v/>
      </c>
      <c r="AE28" s="21">
        <f>IF(AD28="", "", IF(AD28+1 &lt;= IF(ISNUMBER($D$4), $D$4, DATEVALUE($D$4)), AD28+1, ""))</f>
        <v/>
      </c>
      <c r="AF28" s="21">
        <f>IF(AE28="", "", IF(AE28+1 &lt;= IF(ISNUMBER($D$4), $D$4, DATEVALUE($D$4)), AE28+1, ""))</f>
        <v/>
      </c>
      <c r="AG28" s="21">
        <f>IF(AF28="", "", IF(AF28+1 &lt;= IF(ISNUMBER($D$4), $D$4, DATEVALUE($D$4)), AF28+1, ""))</f>
        <v/>
      </c>
      <c r="AH28" s="21">
        <f>IF(AG28="","",IF(AG28+1&lt;=$D$4,AG28+1,""))</f>
        <v/>
      </c>
    </row>
    <row r="29" ht="20" customHeight="1" s="29">
      <c r="A29" s="22">
        <f>A13</f>
        <v/>
      </c>
      <c r="B29" s="23">
        <f>SUMIF(C$28:AG$28, "&lt;&gt;", C29:AG29)</f>
        <v/>
      </c>
      <c r="C29" s="2" t="n">
        <v>1</v>
      </c>
      <c r="D29" s="2" t="n">
        <v>1</v>
      </c>
      <c r="E29" s="2" t="n">
        <v>1</v>
      </c>
      <c r="F29" s="2" t="n"/>
      <c r="G29" s="2" t="n">
        <v>1</v>
      </c>
      <c r="H29" s="2" t="n">
        <v>1</v>
      </c>
      <c r="I29" s="2" t="n">
        <v>1</v>
      </c>
      <c r="J29" s="2" t="n">
        <v>1</v>
      </c>
      <c r="K29" s="2" t="n">
        <v>1</v>
      </c>
      <c r="L29" s="2" t="n">
        <v>1</v>
      </c>
      <c r="M29" s="2" t="n">
        <v>1</v>
      </c>
      <c r="N29" s="2" t="n">
        <v>1</v>
      </c>
      <c r="O29" s="2" t="n">
        <v>1</v>
      </c>
      <c r="P29" s="2" t="n">
        <v>1</v>
      </c>
      <c r="Q29" s="2" t="n">
        <v>1</v>
      </c>
      <c r="R29" s="2" t="n">
        <v>1</v>
      </c>
      <c r="S29" s="2" t="n">
        <v>1</v>
      </c>
      <c r="T29" s="2" t="n">
        <v>1</v>
      </c>
      <c r="U29" s="2" t="n">
        <v>1</v>
      </c>
      <c r="V29" s="2" t="n">
        <v>1</v>
      </c>
      <c r="W29" s="2" t="n">
        <v>1</v>
      </c>
      <c r="X29" s="2" t="n">
        <v>1</v>
      </c>
      <c r="Y29" s="2" t="n"/>
      <c r="Z29" s="2" t="n">
        <v>1</v>
      </c>
      <c r="AA29" s="2" t="n">
        <v>1</v>
      </c>
      <c r="AB29" s="2" t="n">
        <v>1</v>
      </c>
      <c r="AC29" s="2" t="n">
        <v>1</v>
      </c>
      <c r="AD29" s="2" t="n">
        <v>1</v>
      </c>
      <c r="AE29" s="2" t="n">
        <v>1</v>
      </c>
      <c r="AF29" s="2" t="n">
        <v>1</v>
      </c>
      <c r="AG29" s="2" t="n">
        <v>1</v>
      </c>
    </row>
    <row r="30" ht="20" customHeight="1" s="29">
      <c r="A30" s="22">
        <f>A14</f>
        <v/>
      </c>
      <c r="B30" s="23">
        <f>SUMIF(C$28:AG$28, "&lt;&gt;", C30:AG30)</f>
        <v/>
      </c>
      <c r="C30" s="2" t="n">
        <v>1</v>
      </c>
      <c r="D30" s="2" t="n">
        <v>1</v>
      </c>
      <c r="E30" s="2" t="n">
        <v>1</v>
      </c>
      <c r="F30" s="2" t="n"/>
      <c r="G30" s="2" t="n">
        <v>1</v>
      </c>
      <c r="H30" s="2" t="n">
        <v>1</v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</row>
    <row r="31" ht="20" customHeight="1" s="29">
      <c r="A31" s="22">
        <f>A15</f>
        <v/>
      </c>
      <c r="B31" s="23">
        <f>SUMIF(C$28:AG$28, "&lt;&gt;", C31:AG31)</f>
        <v/>
      </c>
      <c r="C31" s="2" t="n">
        <v>1</v>
      </c>
      <c r="D31" s="2" t="n">
        <v>1</v>
      </c>
      <c r="E31" s="2" t="n">
        <v>1</v>
      </c>
      <c r="F31" s="2" t="n"/>
      <c r="G31" s="2" t="n">
        <v>1</v>
      </c>
      <c r="H31" s="2" t="n">
        <v>1</v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 ht="20" customHeight="1" s="29">
      <c r="A32" s="22">
        <f>A16</f>
        <v/>
      </c>
      <c r="B32" s="23">
        <f>SUMIF(C$28:AG$28, "&lt;&gt;", C32:AG32)</f>
        <v/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</row>
    <row r="33" ht="20" customHeight="1" s="29">
      <c r="A33" s="22">
        <f>A17</f>
        <v/>
      </c>
      <c r="B33" s="23">
        <f>SUMIF(C$28:AG$28, "&lt;&gt;", C33:AG33)</f>
        <v/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</row>
    <row r="34" ht="20" customHeight="1" s="29">
      <c r="A34" s="22">
        <f>A18</f>
        <v/>
      </c>
      <c r="B34" s="23">
        <f>SUMIF(C$28:AG$28, "&lt;&gt;", C34:AG34)</f>
        <v/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 ht="20" customHeight="1" s="29">
      <c r="A35" s="22">
        <f>A19</f>
        <v/>
      </c>
      <c r="B35" s="23">
        <f>SUMIF(C$28:AG$28, "&lt;&gt;", C35:AG35)</f>
        <v/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 ht="20" customHeight="1" s="29">
      <c r="A36" s="22">
        <f>A20</f>
        <v/>
      </c>
      <c r="B36" s="23">
        <f>SUMIF(C$28:AG$28, "&lt;&gt;", C36:AG36)</f>
        <v/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 ht="20" customHeight="1" s="29">
      <c r="A37" s="22">
        <f>A21</f>
        <v/>
      </c>
      <c r="B37" s="23">
        <f>SUMIF(C$28:AG$28, "&lt;&gt;", C37:AG37)</f>
        <v/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 ht="20" customHeight="1" s="29">
      <c r="A38" s="22">
        <f>A22</f>
        <v/>
      </c>
      <c r="B38" s="23">
        <f>SUMIF(C$28:AG$28, "&lt;&gt;", C38:AG38)</f>
        <v/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 ht="22" customHeight="1" s="29">
      <c r="A39" s="8" t="inlineStr">
        <is>
          <t>Total Present</t>
        </is>
      </c>
      <c r="B39" s="24">
        <f>SUM(B29:B38)</f>
        <v/>
      </c>
      <c r="C39" s="25">
        <f>IF(C$28="","",SUM(C29:C38))</f>
        <v/>
      </c>
      <c r="D39" s="25">
        <f>IF(D$28="","",SUM(D29:D38))</f>
        <v/>
      </c>
      <c r="E39" s="25">
        <f>IF(E$28="","",SUM(E29:E38))</f>
        <v/>
      </c>
      <c r="F39" s="25">
        <f>IF(F$28="","",SUM(F29:F38))</f>
        <v/>
      </c>
      <c r="G39" s="25">
        <f>IF(G$28="","",SUM(G29:G38))</f>
        <v/>
      </c>
      <c r="H39" s="25">
        <f>IF(H$28="","",SUM(H29:H38))</f>
        <v/>
      </c>
      <c r="I39" s="25">
        <f>IF(I$28="","",SUM(I29:I38))</f>
        <v/>
      </c>
      <c r="J39" s="25">
        <f>IF(J$28="","",SUM(J29:J38))</f>
        <v/>
      </c>
      <c r="K39" s="25">
        <f>IF(K$28="","",SUM(K29:K38))</f>
        <v/>
      </c>
      <c r="L39" s="25">
        <f>IF(L$28="","",SUM(L29:L38))</f>
        <v/>
      </c>
      <c r="M39" s="25">
        <f>IF(M$28="","",SUM(M29:M38))</f>
        <v/>
      </c>
      <c r="N39" s="25">
        <f>IF(N$28="","",SUM(N29:N38))</f>
        <v/>
      </c>
      <c r="O39" s="25">
        <f>IF(O$28="","",SUM(O29:O38))</f>
        <v/>
      </c>
      <c r="P39" s="25">
        <f>IF(P$28="","",SUM(P29:P38))</f>
        <v/>
      </c>
      <c r="Q39" s="25">
        <f>IF(Q$28="","",SUM(Q29:Q38))</f>
        <v/>
      </c>
      <c r="R39" s="25">
        <f>IF(R$28="","",SUM(R29:R38))</f>
        <v/>
      </c>
      <c r="S39" s="25">
        <f>IF(S$28="","",SUM(S29:S38))</f>
        <v/>
      </c>
      <c r="T39" s="25">
        <f>IF(T$28="","",SUM(T29:T38))</f>
        <v/>
      </c>
      <c r="U39" s="25">
        <f>IF(U$28="","",SUM(U29:U38))</f>
        <v/>
      </c>
      <c r="V39" s="25">
        <f>IF(V$28="","",SUM(V29:V38))</f>
        <v/>
      </c>
      <c r="W39" s="25">
        <f>IF(W$28="","",SUM(W29:W38))</f>
        <v/>
      </c>
      <c r="X39" s="25">
        <f>IF(X$28="","",SUM(X29:X38))</f>
        <v/>
      </c>
      <c r="Y39" s="25">
        <f>IF(Y$28="","",SUM(Y29:Y38))</f>
        <v/>
      </c>
      <c r="Z39" s="25">
        <f>IF(Z$28="","",SUM(Z29:Z38))</f>
        <v/>
      </c>
      <c r="AA39" s="25">
        <f>IF(AA$28="","",SUM(AA29:AA38))</f>
        <v/>
      </c>
      <c r="AB39" s="25">
        <f>IF(AB$28="","",SUM(AB29:AB38))</f>
        <v/>
      </c>
      <c r="AC39" s="25">
        <f>IF(AC$28="","",SUM(AC29:AC38))</f>
        <v/>
      </c>
      <c r="AD39" s="25">
        <f>IF(AD$28="","",SUM(AD29:AD38))</f>
        <v/>
      </c>
      <c r="AE39" s="25">
        <f>IF(AE$28="","",SUM(AE29:AE38))</f>
        <v/>
      </c>
      <c r="AF39" s="25">
        <f>IF(AF$28="","",SUM(AF29:AF38))</f>
        <v/>
      </c>
      <c r="AG39" s="25">
        <f>IF(AG$28="","",SUM(AG29:AG38))</f>
        <v/>
      </c>
    </row>
    <row r="40" ht="22" customHeight="1" s="29">
      <c r="A40" s="8" t="inlineStr">
        <is>
          <t>PUB Cost per Person/Day</t>
        </is>
      </c>
      <c r="B40" s="26">
        <f>SUM(C40:AG40)</f>
        <v/>
      </c>
      <c r="C40" s="14">
        <f>IF(C$28="", "", IF(C39&gt;0, (C$8 / $F$4) / C39, (C$8 / $F$4) / COUNTA($A$13:$A$22)))</f>
        <v/>
      </c>
      <c r="D40" s="14">
        <f>IF(D$28="", "", IF(D39&gt;0, (C$8 / $F$4) / D39, (C$8 / $F$4) / COUNTA($A$13:$A$22)))</f>
        <v/>
      </c>
      <c r="E40" s="14">
        <f>IF(E$28="", "", IF(E39&gt;0, (C$8 / $F$4) / E39, (C$8 / $F$4) / COUNTA($A$13:$A$22)))</f>
        <v/>
      </c>
      <c r="F40" s="14">
        <f>IF(F$28="", "", IF(F39&gt;0, (C$8 / $F$4) / F39, (C$8 / $F$4) / COUNTA($A$13:$A$22)))</f>
        <v/>
      </c>
      <c r="G40" s="14">
        <f>IF(G$28="", "", IF(G39&gt;0, (C$8 / $F$4) / G39, (C$8 / $F$4) / COUNTA($A$13:$A$22)))</f>
        <v/>
      </c>
      <c r="H40" s="14">
        <f>IF(H$28="", "", IF(H39&gt;0, (C$8 / $F$4) / H39, (C$8 / $F$4) / COUNTA($A$13:$A$22)))</f>
        <v/>
      </c>
      <c r="I40" s="14">
        <f>IF(I$28="", "", IF(I39&gt;0, (C$8 / $F$4) / I39, (C$8 / $F$4) / COUNTA($A$13:$A$22)))</f>
        <v/>
      </c>
      <c r="J40" s="14">
        <f>IF(J$28="", "", IF(J39&gt;0, (C$8 / $F$4) / J39, (C$8 / $F$4) / COUNTA($A$13:$A$22)))</f>
        <v/>
      </c>
      <c r="K40" s="14">
        <f>IF(K$28="", "", IF(K39&gt;0, (C$8 / $F$4) / K39, (C$8 / $F$4) / COUNTA($A$13:$A$22)))</f>
        <v/>
      </c>
      <c r="L40" s="14">
        <f>IF(L$28="", "", IF(L39&gt;0, (C$8 / $F$4) / L39, (C$8 / $F$4) / COUNTA($A$13:$A$22)))</f>
        <v/>
      </c>
      <c r="M40" s="14">
        <f>IF(M$28="", "", IF(M39&gt;0, (C$8 / $F$4) / M39, (C$8 / $F$4) / COUNTA($A$13:$A$22)))</f>
        <v/>
      </c>
      <c r="N40" s="14">
        <f>IF(N$28="", "", IF(N39&gt;0, (C$8 / $F$4) / N39, (C$8 / $F$4) / COUNTA($A$13:$A$22)))</f>
        <v/>
      </c>
      <c r="O40" s="14">
        <f>IF(O$28="", "", IF(O39&gt;0, (C$8 / $F$4) / O39, (C$8 / $F$4) / COUNTA($A$13:$A$22)))</f>
        <v/>
      </c>
      <c r="P40" s="14">
        <f>IF(P$28="", "", IF(P39&gt;0, (C$8 / $F$4) / P39, (C$8 / $F$4) / COUNTA($A$13:$A$22)))</f>
        <v/>
      </c>
      <c r="Q40" s="14">
        <f>IF(Q$28="", "", IF(Q39&gt;0, (C$8 / $F$4) / Q39, (C$8 / $F$4) / COUNTA($A$13:$A$22)))</f>
        <v/>
      </c>
      <c r="R40" s="14">
        <f>IF(R$28="", "", IF(R39&gt;0, (C$8 / $F$4) / R39, (C$8 / $F$4) / COUNTA($A$13:$A$22)))</f>
        <v/>
      </c>
      <c r="S40" s="14">
        <f>IF(S$28="", "", IF(S39&gt;0, (C$8 / $F$4) / S39, (C$8 / $F$4) / COUNTA($A$13:$A$22)))</f>
        <v/>
      </c>
      <c r="T40" s="14">
        <f>IF(T$28="", "", IF(T39&gt;0, (C$8 / $F$4) / T39, (C$8 / $F$4) / COUNTA($A$13:$A$22)))</f>
        <v/>
      </c>
      <c r="U40" s="14">
        <f>IF(U$28="", "", IF(U39&gt;0, (C$8 / $F$4) / U39, (C$8 / $F$4) / COUNTA($A$13:$A$22)))</f>
        <v/>
      </c>
      <c r="V40" s="14">
        <f>IF(V$28="", "", IF(V39&gt;0, (C$8 / $F$4) / V39, (C$8 / $F$4) / COUNTA($A$13:$A$22)))</f>
        <v/>
      </c>
      <c r="W40" s="14">
        <f>IF(W$28="", "", IF(W39&gt;0, (C$8 / $F$4) / W39, (C$8 / $F$4) / COUNTA($A$13:$A$22)))</f>
        <v/>
      </c>
      <c r="X40" s="14">
        <f>IF(X$28="", "", IF(X39&gt;0, (C$8 / $F$4) / X39, (C$8 / $F$4) / COUNTA($A$13:$A$22)))</f>
        <v/>
      </c>
      <c r="Y40" s="14">
        <f>IF(Y$28="", "", IF(Y39&gt;0, (C$8 / $F$4) / Y39, (C$8 / $F$4) / COUNTA($A$13:$A$22)))</f>
        <v/>
      </c>
      <c r="Z40" s="14">
        <f>IF(Z$28="", "", IF(Z39&gt;0, (C$8 / $F$4) / Z39, (C$8 / $F$4) / COUNTA($A$13:$A$22)))</f>
        <v/>
      </c>
      <c r="AA40" s="14">
        <f>IF(AA$28="", "", IF(AA39&gt;0, (C$8 / $F$4) / AA39, (C$8 / $F$4) / COUNTA($A$13:$A$22)))</f>
        <v/>
      </c>
      <c r="AB40" s="14">
        <f>IF(AB$28="", "", IF(AB39&gt;0, (C$8 / $F$4) / AB39, (C$8 / $F$4) / COUNTA($A$13:$A$22)))</f>
        <v/>
      </c>
      <c r="AC40" s="14">
        <f>IF(AC$28="", "", IF(AC39&gt;0, (C$8 / $F$4) / AC39, (C$8 / $F$4) / COUNTA($A$13:$A$22)))</f>
        <v/>
      </c>
      <c r="AD40" s="14">
        <f>IF(AD$28="", "", IF(AD39&gt;0, (C$8 / $F$4) / AD39, (C$8 / $F$4) / COUNTA($A$13:$A$22)))</f>
        <v/>
      </c>
      <c r="AE40" s="14">
        <f>IF(AE$28="", "", IF(AE39&gt;0, (C$8 / $F$4) / AE39, (C$8 / $F$4) / COUNTA($A$13:$A$22)))</f>
        <v/>
      </c>
      <c r="AF40" s="14">
        <f>IF(AF$28="", "", IF(AF39&gt;0, (C$8 / $F$4) / AF39, (C$8 / $F$4) / COUNTA($A$13:$A$22)))</f>
        <v/>
      </c>
      <c r="AG40" s="14">
        <f>IF(AG$28="", "", IF(AG39&gt;0, (C$8 / $F$4) / AG39, (C$8 / $F$4) / COUNTA($A$13:$A$22)))</f>
        <v/>
      </c>
    </row>
    <row r="42" ht="16" customHeight="1" s="29">
      <c r="A42" s="34" t="inlineStr">
        <is>
          <t>HOW TO USE THIS SHEET:</t>
        </is>
      </c>
    </row>
    <row r="43" ht="18" customHeight="1" s="29">
      <c r="A43" s="28" t="inlineStr">
        <is>
          <t>1. Enter Billing Start/End Dates in B4/D4. The billing days calculate automatically.</t>
        </is>
      </c>
    </row>
    <row r="44" ht="18" customHeight="1" s="29">
      <c r="A44" s="28" t="inlineStr">
        <is>
          <t>2. Rename any of the utility headers (C7:F7) as needed (e.g., replace 'Custom 1' with 'Netflix' or 'Gas').</t>
        </is>
      </c>
    </row>
    <row r="45" ht="18" customHeight="1" s="29">
      <c r="A45" s="28" t="inlineStr">
        <is>
          <t>3. Enter the total bill for each utility in the green boxes (C8:F8).</t>
        </is>
      </c>
    </row>
    <row r="46" ht="18" customHeight="1" s="29">
      <c r="A46" s="28" t="inlineStr">
        <is>
          <t>4. Choose split methods in green boxes (C9:F9) - choose 'By Days Present' for variable bills (like PUB), 'Split Equally' for flat bills, or 'Split (Top 3)' to split equally among the first 3 occupants only.</t>
        </is>
      </c>
    </row>
    <row r="47" ht="18" customHeight="1" s="29">
      <c r="A47" s="28" t="inlineStr">
        <is>
          <t>5. Enter occupant names in green boxes A13:A22. They will mirror automatically in the daily tracker.</t>
        </is>
      </c>
    </row>
    <row r="48" ht="18" customHeight="1" s="29">
      <c r="A48" s="28" t="inlineStr">
        <is>
          <t>6. In Section 3 (Daily Occupancy Tracker), enter '1' in the green day columns for each day an occupant is present. Leave blank or enter '0' if they are away.</t>
        </is>
      </c>
    </row>
    <row r="49" ht="18" customHeight="1" s="29">
      <c r="A49" s="28" t="inlineStr">
        <is>
          <t>7. Note: The Day columns in Section 3 link to dates in B4/D4. Changing dates will automatically gray out and disable inactive columns.</t>
        </is>
      </c>
    </row>
    <row r="50" ht="18" customHeight="1" s="29">
      <c r="A50" s="32" t="inlineStr">
        <is>
          <t>💡 Verification status displays '✔ Balanced' when individual shares match the total bill. If some people were away, PUB will show '❌ Unbalanced' to reflect the unallocated vacancy cost of empty days.</t>
        </is>
      </c>
    </row>
  </sheetData>
  <mergeCells count="14">
    <mergeCell ref="A44:G44"/>
    <mergeCell ref="A27:AG27"/>
    <mergeCell ref="A1:G1"/>
    <mergeCell ref="A6:G6"/>
    <mergeCell ref="A50:G50"/>
    <mergeCell ref="A48:G48"/>
    <mergeCell ref="A2:G2"/>
    <mergeCell ref="A42:G42"/>
    <mergeCell ref="A43:G43"/>
    <mergeCell ref="A11:G11"/>
    <mergeCell ref="A49:G49"/>
    <mergeCell ref="A47:G47"/>
    <mergeCell ref="A45:G45"/>
    <mergeCell ref="A46:G46"/>
  </mergeCells>
  <conditionalFormatting sqref="C28:AG40">
    <cfRule type="expression" priority="1" dxfId="0" stopIfTrue="1">
      <formula>C$28=""</formula>
    </cfRule>
  </conditionalFormatting>
  <dataValidations count="1">
    <dataValidation sqref="C9:F9" showDropDown="0" showInputMessage="0" showErrorMessage="0" allowBlank="0" errorTitle="Invalid Entry" error="Your entry is not in the list" promptTitle="Split Method" prompt="Please select a split method" type="list">
      <formula1>"By Days Present,Split Equally,Split (Top 3)"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0"/>
  <sheetViews>
    <sheetView topLeftCell="A9" workbookViewId="0">
      <selection activeCell="A1" sqref="A1:G1"/>
    </sheetView>
  </sheetViews>
  <sheetFormatPr baseColWidth="10" defaultColWidth="8.83203125" defaultRowHeight="15"/>
  <cols>
    <col width="24" customWidth="1" style="29" min="1" max="1"/>
    <col width="16" customWidth="1" style="29" min="2" max="2"/>
    <col width="27.1640625" customWidth="1" style="29" min="3" max="3"/>
    <col width="6" customWidth="1" style="29" min="4" max="33"/>
  </cols>
  <sheetData>
    <row r="1" ht="30" customHeight="1" s="29">
      <c r="A1" s="30" t="inlineStr">
        <is>
          <t>HOUSEHOLD UTILITY BILL CALCULATOR - AUGUST 2026</t>
        </is>
      </c>
    </row>
    <row r="2" ht="20" customHeight="1" s="29">
      <c r="A2" s="33" t="inlineStr">
        <is>
          <t>Distribute shared bills dynamically by days present or equal split. Edit the green shaded cells; formulas do the rest.</t>
        </is>
      </c>
    </row>
    <row r="4" ht="22" customHeight="1" s="29">
      <c r="A4" s="34" t="inlineStr">
        <is>
          <t>Billing Start Date:</t>
        </is>
      </c>
      <c r="B4" s="35" t="n">
        <v>46235</v>
      </c>
      <c r="C4" s="34" t="inlineStr">
        <is>
          <t>Billing End Date:</t>
        </is>
      </c>
      <c r="D4" s="35" t="n">
        <v>46265</v>
      </c>
      <c r="E4" s="34" t="inlineStr">
        <is>
          <t>Billing Period Days:</t>
        </is>
      </c>
      <c r="F4" s="3">
        <f>IF(AND($B$4&lt;&gt;"", $D$4&lt;&gt;""), IF(ISNUMBER($D$4), $D$4, DATEVALUE($D$4)) - IF(ISNUMBER($B$4), $B$4, DATEVALUE($B$4)) + 1, "")</f>
        <v/>
      </c>
    </row>
    <row r="6" ht="24" customHeight="1" s="29">
      <c r="A6" s="31" t="inlineStr">
        <is>
          <t>1. UTILITY CONFIGURATION</t>
        </is>
      </c>
    </row>
    <row r="7" ht="25" customHeight="1" s="29">
      <c r="A7" s="4" t="inlineStr">
        <is>
          <t>Utility Item</t>
        </is>
      </c>
      <c r="B7" s="5" t="inlineStr">
        <is>
          <t>Label Description</t>
        </is>
      </c>
      <c r="C7" s="6" t="inlineStr">
        <is>
          <t>PUB</t>
        </is>
      </c>
      <c r="D7" s="6" t="inlineStr">
        <is>
          <t>Internet</t>
        </is>
      </c>
      <c r="E7" s="6" t="inlineStr">
        <is>
          <t>Custom 1</t>
        </is>
      </c>
      <c r="F7" s="6" t="inlineStr">
        <is>
          <t>Custom 2</t>
        </is>
      </c>
      <c r="G7" s="7" t="inlineStr">
        <is>
          <t>TOTAL BILL</t>
        </is>
      </c>
    </row>
    <row r="8" ht="22" customHeight="1" s="29">
      <c r="A8" s="8" t="inlineStr">
        <is>
          <t>Total Bill Amount</t>
        </is>
      </c>
      <c r="B8" s="5" t="inlineStr">
        <is>
          <t>Enter costs -&gt;</t>
        </is>
      </c>
      <c r="C8" s="9" t="n">
        <v>150</v>
      </c>
      <c r="D8" s="9" t="n">
        <v>43.7</v>
      </c>
      <c r="E8" s="9" t="n">
        <v>0</v>
      </c>
      <c r="F8" s="9" t="n">
        <v>0</v>
      </c>
      <c r="G8" s="10">
        <f>SUM(C8:F8)</f>
        <v/>
      </c>
    </row>
    <row r="9" ht="22" customHeight="1" s="29">
      <c r="A9" s="8" t="inlineStr">
        <is>
          <t>Split Method</t>
        </is>
      </c>
      <c r="B9" s="5" t="inlineStr">
        <is>
          <t>Choose method -&gt;</t>
        </is>
      </c>
      <c r="C9" s="2" t="inlineStr">
        <is>
          <t>By Days Present</t>
        </is>
      </c>
      <c r="D9" s="2" t="inlineStr">
        <is>
          <t>Split (Top 3)</t>
        </is>
      </c>
      <c r="E9" s="2" t="inlineStr">
        <is>
          <t>Split Equally</t>
        </is>
      </c>
      <c r="F9" s="2" t="inlineStr">
        <is>
          <t>Split Equally</t>
        </is>
      </c>
      <c r="G9" s="11" t="n"/>
    </row>
    <row r="11" ht="24" customHeight="1" s="29">
      <c r="A11" s="31" t="inlineStr">
        <is>
          <t>2. OCCUPANT DETAIL &amp; BILL DIVISION</t>
        </is>
      </c>
    </row>
    <row r="12" ht="25" customHeight="1" s="29">
      <c r="A12" s="4" t="inlineStr">
        <is>
          <t>Occupant Name</t>
        </is>
      </c>
      <c r="B12" s="6" t="inlineStr">
        <is>
          <t>Days Present</t>
        </is>
      </c>
      <c r="C12" s="6" t="inlineStr">
        <is>
          <t>PUB Share</t>
        </is>
      </c>
      <c r="D12" s="6" t="inlineStr">
        <is>
          <t>Internet Share</t>
        </is>
      </c>
      <c r="E12" s="6" t="inlineStr">
        <is>
          <t>Custom 1</t>
        </is>
      </c>
      <c r="F12" s="6" t="inlineStr">
        <is>
          <t>Custom 2</t>
        </is>
      </c>
      <c r="G12" s="7" t="inlineStr">
        <is>
          <t>Total Owed</t>
        </is>
      </c>
    </row>
    <row r="13" ht="20" customHeight="1" s="29">
      <c r="A13" s="12" t="inlineStr">
        <is>
          <t>Alex</t>
        </is>
      </c>
      <c r="B13" s="13">
        <f>B29</f>
        <v/>
      </c>
      <c r="C13" s="14">
        <f>IF(ISBLANK($A13), "", IFERROR(IF(C$9="By Days Present", SUMPRODUCT((C$39:AG$39=0) + C29:AG29*(C$39:AG$39&gt;0), C$40:AG$40), IF(C$9="Split Equally", C$8 / COUNTA($A$13:$A$22), IF(C$9="Split (Top 3)", IF(ROW()&lt;=15, C$8 / 3, 0), 0))), 0))</f>
        <v/>
      </c>
      <c r="D13" s="14">
        <f>IF(ISBLANK($A13), "", IFERROR(IF(D$9="By Days Present", SUMPRODUCT(((C$39:AG$39=0)/COUNTA($A$13:$A$22) + (C29:AG29/(C$39:AG$39 + (C$39:AG$39=0)))*(C$39:AG$39&gt;0)), (C$28:AG$28&lt;&gt;"") * (D$8 / $F$4)), IF(D$9="Split Equally", D$8 / COUNTA($A$13:$A$22), IF(D$9="Split (Top 3)", IF(ROW()&lt;=15, D$8 / 3, 0), 0))), 0))</f>
        <v/>
      </c>
      <c r="E13" s="14">
        <f>IF(ISBLANK($A13), "", IFERROR(IF(E$9="By Days Present", SUMPRODUCT(((C$39:AG$39=0)/COUNTA($A$13:$A$22) + (C29:AG29/(C$39:AG$39 + (C$39:AG$39=0)))*(C$39:AG$39&gt;0)), (C$28:AG$28&lt;&gt;"") * (E$8 / $F$4)), IF(E$9="Split Equally", E$8 / COUNTA($A$13:$A$22), IF(E$9="Split (Top 3)", IF(ROW()&lt;=15, E$8 / 3, 0), 0))), 0))</f>
        <v/>
      </c>
      <c r="F13" s="14">
        <f>IF(ISBLANK($A13), "", IFERROR(IF(F$9="By Days Present", SUMPRODUCT(((C$39:AG$39=0)/COUNTA($A$13:$A$22) + (C29:AG29/(C$39:AG$39 + (C$39:AG$39=0)))*(C$39:AG$39&gt;0)), (C$28:AG$28&lt;&gt;"") * (F$8 / $F$4)), IF(F$9="Split Equally", F$8 / COUNTA($A$13:$A$22), IF(F$9="Split (Top 3)", IF(ROW()&lt;=15, F$8 / 3, 0), 0))), 0))</f>
        <v/>
      </c>
      <c r="G13" s="10">
        <f>IF(ISBLANK($A13), "", SUM(C13:F13))</f>
        <v/>
      </c>
    </row>
    <row r="14" ht="20" customHeight="1" s="29">
      <c r="A14" s="12" t="inlineStr">
        <is>
          <t>Jordan</t>
        </is>
      </c>
      <c r="B14" s="13">
        <f>B30</f>
        <v/>
      </c>
      <c r="C14" s="15">
        <f>IF(ISBLANK($A14), "", IFERROR(IF(C$9="By Days Present", SUMPRODUCT((C$39:AG$39=0) + C30:AG30*(C$39:AG$39&gt;0), C$40:AG$40), IF(C$9="Split Equally", C$8 / COUNTA($A$13:$A$22), IF(C$9="Split (Top 3)", IF(ROW()&lt;=15, C$8 / 3, 0), 0))), 0))</f>
        <v/>
      </c>
      <c r="D14" s="15">
        <f>IF(ISBLANK($A14), "", IFERROR(IF(D$9="By Days Present", SUMPRODUCT(((C$39:AG$39=0)/COUNTA($A$13:$A$22) + (C30:AG30/(C$39:AG$39 + (C$39:AG$39=0)))*(C$39:AG$39&gt;0)), (C$28:AG$28&lt;&gt;"") * (D$8 / $F$4)), IF(D$9="Split Equally", D$8 / COUNTA($A$13:$A$22), IF(D$9="Split (Top 3)", IF(ROW()&lt;=15, D$8 / 3, 0), 0))), 0))</f>
        <v/>
      </c>
      <c r="E14" s="15">
        <f>IF(ISBLANK($A14), "", IFERROR(IF(E$9="By Days Present", SUMPRODUCT(((C$39:AG$39=0)/COUNTA($A$13:$A$22) + (C30:AG30/(C$39:AG$39 + (C$39:AG$39=0)))*(C$39:AG$39&gt;0)), (C$28:AG$28&lt;&gt;"") * (E$8 / $F$4)), IF(E$9="Split Equally", E$8 / COUNTA($A$13:$A$22), IF(E$9="Split (Top 3)", IF(ROW()&lt;=15, E$8 / 3, 0), 0))), 0))</f>
        <v/>
      </c>
      <c r="F14" s="15">
        <f>IF(ISBLANK($A14), "", IFERROR(IF(F$9="By Days Present", SUMPRODUCT(((C$39:AG$39=0)/COUNTA($A$13:$A$22) + (C30:AG30/(C$39:AG$39 + (C$39:AG$39=0)))*(C$39:AG$39&gt;0)), (C$28:AG$28&lt;&gt;"") * (F$8 / $F$4)), IF(F$9="Split Equally", F$8 / COUNTA($A$13:$A$22), IF(F$9="Split (Top 3)", IF(ROW()&lt;=15, F$8 / 3, 0), 0))), 0))</f>
        <v/>
      </c>
      <c r="G14" s="10">
        <f>IF(ISBLANK($A14), "", SUM(C14:F14))</f>
        <v/>
      </c>
    </row>
    <row r="15" ht="20" customHeight="1" s="29">
      <c r="A15" s="12" t="inlineStr">
        <is>
          <t>Morgan</t>
        </is>
      </c>
      <c r="B15" s="13">
        <f>B31</f>
        <v/>
      </c>
      <c r="C15" s="14">
        <f>IF(ISBLANK($A15), "", IFERROR(IF(C$9="By Days Present", SUMPRODUCT((C$39:AG$39=0) + C31:AG31*(C$39:AG$39&gt;0), C$40:AG$40), IF(C$9="Split Equally", C$8 / COUNTA($A$13:$A$22), IF(C$9="Split (Top 3)", IF(ROW()&lt;=15, C$8 / 3, 0), 0))), 0))</f>
        <v/>
      </c>
      <c r="D15" s="14">
        <f>IF(ISBLANK($A15), "", IFERROR(IF(D$9="By Days Present", SUMPRODUCT(((C$39:AG$39=0)/COUNTA($A$13:$A$22) + (C31:AG31/(C$39:AG$39 + (C$39:AG$39=0)))*(C$39:AG$39&gt;0)), (C$28:AG$28&lt;&gt;"") * (D$8 / $F$4)), IF(D$9="Split Equally", D$8 / COUNTA($A$13:$A$22), IF(D$9="Split (Top 3)", IF(ROW()&lt;=15, D$8 / 3, 0), 0))), 0))</f>
        <v/>
      </c>
      <c r="E15" s="14">
        <f>IF(ISBLANK($A15), "", IFERROR(IF(E$9="By Days Present", SUMPRODUCT(((C$39:AG$39=0)/COUNTA($A$13:$A$22) + (C31:AG31/(C$39:AG$39 + (C$39:AG$39=0)))*(C$39:AG$39&gt;0)), (C$28:AG$28&lt;&gt;"") * (E$8 / $F$4)), IF(E$9="Split Equally", E$8 / COUNTA($A$13:$A$22), IF(E$9="Split (Top 3)", IF(ROW()&lt;=15, E$8 / 3, 0), 0))), 0))</f>
        <v/>
      </c>
      <c r="F15" s="14">
        <f>IF(ISBLANK($A15), "", IFERROR(IF(F$9="By Days Present", SUMPRODUCT(((C$39:AG$39=0)/COUNTA($A$13:$A$22) + (C31:AG31/(C$39:AG$39 + (C$39:AG$39=0)))*(C$39:AG$39&gt;0)), (C$28:AG$28&lt;&gt;"") * (F$8 / $F$4)), IF(F$9="Split Equally", F$8 / COUNTA($A$13:$A$22), IF(F$9="Split (Top 3)", IF(ROW()&lt;=15, F$8 / 3, 0), 0))), 0))</f>
        <v/>
      </c>
      <c r="G15" s="10">
        <f>IF(ISBLANK($A15), "", SUM(C15:F15))</f>
        <v/>
      </c>
    </row>
    <row r="16" ht="20" customHeight="1" s="29">
      <c r="A16" s="12" t="inlineStr">
        <is>
          <t>Taylor</t>
        </is>
      </c>
      <c r="B16" s="13">
        <f>B32</f>
        <v/>
      </c>
      <c r="C16" s="15">
        <f>IF(ISBLANK($A16), "", IFERROR(IF(C$9="By Days Present", SUMPRODUCT((C$39:AG$39=0) + C32:AG32*(C$39:AG$39&gt;0), C$40:AG$40), IF(C$9="Split Equally", C$8 / COUNTA($A$13:$A$22), IF(C$9="Split (Top 3)", IF(ROW()&lt;=15, C$8 / 3, 0), 0))), 0))</f>
        <v/>
      </c>
      <c r="D16" s="15">
        <f>IF(ISBLANK($A16), "", IFERROR(IF(D$9="By Days Present", SUMPRODUCT(((C$39:AG$39=0)/COUNTA($A$13:$A$22) + (C32:AG32/(C$39:AG$39 + (C$39:AG$39=0)))*(C$39:AG$39&gt;0)), (C$28:AG$28&lt;&gt;"") * (D$8 / $F$4)), IF(D$9="Split Equally", D$8 / COUNTA($A$13:$A$22), IF(D$9="Split (Top 3)", IF(ROW()&lt;=15, D$8 / 3, 0), 0))), 0))</f>
        <v/>
      </c>
      <c r="E16" s="15">
        <f>IF(ISBLANK($A16), "", IFERROR(IF(E$9="By Days Present", SUMPRODUCT(((C$39:AG$39=0)/COUNTA($A$13:$A$22) + (C32:AG32/(C$39:AG$39 + (C$39:AG$39=0)))*(C$39:AG$39&gt;0)), (C$28:AG$28&lt;&gt;"") * (E$8 / $F$4)), IF(E$9="Split Equally", E$8 / COUNTA($A$13:$A$22), IF(E$9="Split (Top 3)", IF(ROW()&lt;=15, E$8 / 3, 0), 0))), 0))</f>
        <v/>
      </c>
      <c r="F16" s="15">
        <f>IF(ISBLANK($A16), "", IFERROR(IF(F$9="By Days Present", SUMPRODUCT(((C$39:AG$39=0)/COUNTA($A$13:$A$22) + (C32:AG32/(C$39:AG$39 + (C$39:AG$39=0)))*(C$39:AG$39&gt;0)), (C$28:AG$28&lt;&gt;"") * (F$8 / $F$4)), IF(F$9="Split Equally", F$8 / COUNTA($A$13:$A$22), IF(F$9="Split (Top 3)", IF(ROW()&lt;=15, F$8 / 3, 0), 0))), 0))</f>
        <v/>
      </c>
      <c r="G16" s="10">
        <f>IF(ISBLANK($A16), "", SUM(C16:F16))</f>
        <v/>
      </c>
    </row>
    <row r="17" ht="20" customHeight="1" s="29">
      <c r="A17" s="12" t="n"/>
      <c r="B17" s="13">
        <f>B33</f>
        <v/>
      </c>
      <c r="C17" s="14">
        <f>IF(ISBLANK($A17), "", IFERROR(IF(C$9="By Days Present", SUMPRODUCT((C$39:AG$39=0) + C33:AG33*(C$39:AG$39&gt;0), C$40:AG$40), IF(C$9="Split Equally", C$8 / COUNTA($A$13:$A$22), IF(C$9="Split (Top 3)", IF(ROW()&lt;=15, C$8 / 3, 0), 0))), 0))</f>
        <v/>
      </c>
      <c r="D17" s="14">
        <f>IF(ISBLANK($A17), "", IFERROR(IF(D$9="By Days Present", SUMPRODUCT(((C$39:AG$39=0)/COUNTA($A$13:$A$22) + (C33:AG33/(C$39:AG$39 + (C$39:AG$39=0)))*(C$39:AG$39&gt;0)), (C$28:AG$28&lt;&gt;"") * (D$8 / $F$4)), IF(D$9="Split Equally", D$8 / COUNTA($A$13:$A$22), IF(D$9="Split (Top 3)", IF(ROW()&lt;=15, D$8 / 3, 0), 0))), 0))</f>
        <v/>
      </c>
      <c r="E17" s="14">
        <f>IF(ISBLANK($A17), "", IFERROR(IF(E$9="By Days Present", SUMPRODUCT(((C$39:AG$39=0)/COUNTA($A$13:$A$22) + (C33:AG33/(C$39:AG$39 + (C$39:AG$39=0)))*(C$39:AG$39&gt;0)), (C$28:AG$28&lt;&gt;"") * (E$8 / $F$4)), IF(E$9="Split Equally", E$8 / COUNTA($A$13:$A$22), IF(E$9="Split (Top 3)", IF(ROW()&lt;=15, E$8 / 3, 0), 0))), 0))</f>
        <v/>
      </c>
      <c r="F17" s="14">
        <f>IF(ISBLANK($A17), "", IFERROR(IF(F$9="By Days Present", SUMPRODUCT(((C$39:AG$39=0)/COUNTA($A$13:$A$22) + (C33:AG33/(C$39:AG$39 + (C$39:AG$39=0)))*(C$39:AG$39&gt;0)), (C$28:AG$28&lt;&gt;"") * (F$8 / $F$4)), IF(F$9="Split Equally", F$8 / COUNTA($A$13:$A$22), IF(F$9="Split (Top 3)", IF(ROW()&lt;=15, F$8 / 3, 0), 0))), 0))</f>
        <v/>
      </c>
      <c r="G17" s="10">
        <f>IF(ISBLANK($A17), "", SUM(C17:F17))</f>
        <v/>
      </c>
    </row>
    <row r="18" ht="20" customHeight="1" s="29">
      <c r="A18" s="12" t="n"/>
      <c r="B18" s="13">
        <f>B34</f>
        <v/>
      </c>
      <c r="C18" s="15">
        <f>IF(ISBLANK($A18), "", IFERROR(IF(C$9="By Days Present", SUMPRODUCT((C$39:AG$39=0) + C34:AG34*(C$39:AG$39&gt;0), C$40:AG$40), IF(C$9="Split Equally", C$8 / COUNTA($A$13:$A$22), IF(C$9="Split (Top 3)", IF(ROW()&lt;=15, C$8 / 3, 0), 0))), 0))</f>
        <v/>
      </c>
      <c r="D18" s="15">
        <f>IF(ISBLANK($A18), "", IFERROR(IF(D$9="By Days Present", SUMPRODUCT(((C$39:AG$39=0)/COUNTA($A$13:$A$22) + (C34:AG34/(C$39:AG$39 + (C$39:AG$39=0)))*(C$39:AG$39&gt;0)), (C$28:AG$28&lt;&gt;"") * (D$8 / $F$4)), IF(D$9="Split Equally", D$8 / COUNTA($A$13:$A$22), IF(D$9="Split (Top 3)", IF(ROW()&lt;=15, D$8 / 3, 0), 0))), 0))</f>
        <v/>
      </c>
      <c r="E18" s="15">
        <f>IF(ISBLANK($A18), "", IFERROR(IF(E$9="By Days Present", SUMPRODUCT(((C$39:AG$39=0)/COUNTA($A$13:$A$22) + (C34:AG34/(C$39:AG$39 + (C$39:AG$39=0)))*(C$39:AG$39&gt;0)), (C$28:AG$28&lt;&gt;"") * (E$8 / $F$4)), IF(E$9="Split Equally", E$8 / COUNTA($A$13:$A$22), IF(E$9="Split (Top 3)", IF(ROW()&lt;=15, E$8 / 3, 0), 0))), 0))</f>
        <v/>
      </c>
      <c r="F18" s="15">
        <f>IF(ISBLANK($A18), "", IFERROR(IF(F$9="By Days Present", SUMPRODUCT(((C$39:AG$39=0)/COUNTA($A$13:$A$22) + (C34:AG34/(C$39:AG$39 + (C$39:AG$39=0)))*(C$39:AG$39&gt;0)), (C$28:AG$28&lt;&gt;"") * (F$8 / $F$4)), IF(F$9="Split Equally", F$8 / COUNTA($A$13:$A$22), IF(F$9="Split (Top 3)", IF(ROW()&lt;=15, F$8 / 3, 0), 0))), 0))</f>
        <v/>
      </c>
      <c r="G18" s="10">
        <f>IF(ISBLANK($A18), "", SUM(C18:F18))</f>
        <v/>
      </c>
    </row>
    <row r="19" ht="20" customHeight="1" s="29">
      <c r="A19" s="12" t="n"/>
      <c r="B19" s="13">
        <f>B35</f>
        <v/>
      </c>
      <c r="C19" s="14">
        <f>IF(ISBLANK($A19), "", IFERROR(IF(C$9="By Days Present", SUMPRODUCT((C$39:AG$39=0) + C35:AG35*(C$39:AG$39&gt;0), C$40:AG$40), IF(C$9="Split Equally", C$8 / COUNTA($A$13:$A$22), IF(C$9="Split (Top 3)", IF(ROW()&lt;=15, C$8 / 3, 0), 0))), 0))</f>
        <v/>
      </c>
      <c r="D19" s="14">
        <f>IF(ISBLANK($A19), "", IFERROR(IF(D$9="By Days Present", SUMPRODUCT(((C$39:AG$39=0)/COUNTA($A$13:$A$22) + (C35:AG35/(C$39:AG$39 + (C$39:AG$39=0)))*(C$39:AG$39&gt;0)), (C$28:AG$28&lt;&gt;"") * (D$8 / $F$4)), IF(D$9="Split Equally", D$8 / COUNTA($A$13:$A$22), IF(D$9="Split (Top 3)", IF(ROW()&lt;=15, D$8 / 3, 0), 0))), 0))</f>
        <v/>
      </c>
      <c r="E19" s="14">
        <f>IF(ISBLANK($A19), "", IFERROR(IF(E$9="By Days Present", SUMPRODUCT(((C$39:AG$39=0)/COUNTA($A$13:$A$22) + (C35:AG35/(C$39:AG$39 + (C$39:AG$39=0)))*(C$39:AG$39&gt;0)), (C$28:AG$28&lt;&gt;"") * (E$8 / $F$4)), IF(E$9="Split Equally", E$8 / COUNTA($A$13:$A$22), IF(E$9="Split (Top 3)", IF(ROW()&lt;=15, E$8 / 3, 0), 0))), 0))</f>
        <v/>
      </c>
      <c r="F19" s="14">
        <f>IF(ISBLANK($A19), "", IFERROR(IF(F$9="By Days Present", SUMPRODUCT(((C$39:AG$39=0)/COUNTA($A$13:$A$22) + (C35:AG35/(C$39:AG$39 + (C$39:AG$39=0)))*(C$39:AG$39&gt;0)), (C$28:AG$28&lt;&gt;"") * (F$8 / $F$4)), IF(F$9="Split Equally", F$8 / COUNTA($A$13:$A$22), IF(F$9="Split (Top 3)", IF(ROW()&lt;=15, F$8 / 3, 0), 0))), 0))</f>
        <v/>
      </c>
      <c r="G19" s="10">
        <f>IF(ISBLANK($A19), "", SUM(C19:F19))</f>
        <v/>
      </c>
    </row>
    <row r="20" ht="20" customHeight="1" s="29">
      <c r="A20" s="12" t="n"/>
      <c r="B20" s="13">
        <f>B36</f>
        <v/>
      </c>
      <c r="C20" s="15">
        <f>IF(ISBLANK($A20), "", IFERROR(IF(C$9="By Days Present", SUMPRODUCT((C$39:AG$39=0) + C36:AG36*(C$39:AG$39&gt;0), C$40:AG$40), IF(C$9="Split Equally", C$8 / COUNTA($A$13:$A$22), IF(C$9="Split (Top 3)", IF(ROW()&lt;=15, C$8 / 3, 0), 0))), 0))</f>
        <v/>
      </c>
      <c r="D20" s="15">
        <f>IF(ISBLANK($A20), "", IFERROR(IF(D$9="By Days Present", SUMPRODUCT(((C$39:AG$39=0)/COUNTA($A$13:$A$22) + (C36:AG36/(C$39:AG$39 + (C$39:AG$39=0)))*(C$39:AG$39&gt;0)), (C$28:AG$28&lt;&gt;"") * (D$8 / $F$4)), IF(D$9="Split Equally", D$8 / COUNTA($A$13:$A$22), IF(D$9="Split (Top 3)", IF(ROW()&lt;=15, D$8 / 3, 0), 0))), 0))</f>
        <v/>
      </c>
      <c r="E20" s="15">
        <f>IF(ISBLANK($A20), "", IFERROR(IF(E$9="By Days Present", SUMPRODUCT(((C$39:AG$39=0)/COUNTA($A$13:$A$22) + (C36:AG36/(C$39:AG$39 + (C$39:AG$39=0)))*(C$39:AG$39&gt;0)), (C$28:AG$28&lt;&gt;"") * (E$8 / $F$4)), IF(E$9="Split Equally", E$8 / COUNTA($A$13:$A$22), IF(E$9="Split (Top 3)", IF(ROW()&lt;=15, E$8 / 3, 0), 0))), 0))</f>
        <v/>
      </c>
      <c r="F20" s="15">
        <f>IF(ISBLANK($A20), "", IFERROR(IF(F$9="By Days Present", SUMPRODUCT(((C$39:AG$39=0)/COUNTA($A$13:$A$22) + (C36:AG36/(C$39:AG$39 + (C$39:AG$39=0)))*(C$39:AG$39&gt;0)), (C$28:AG$28&lt;&gt;"") * (F$8 / $F$4)), IF(F$9="Split Equally", F$8 / COUNTA($A$13:$A$22), IF(F$9="Split (Top 3)", IF(ROW()&lt;=15, F$8 / 3, 0), 0))), 0))</f>
        <v/>
      </c>
      <c r="G20" s="10">
        <f>IF(ISBLANK($A20), "", SUM(C20:F20))</f>
        <v/>
      </c>
    </row>
    <row r="21" ht="20" customHeight="1" s="29">
      <c r="A21" s="12" t="n"/>
      <c r="B21" s="13">
        <f>B37</f>
        <v/>
      </c>
      <c r="C21" s="14">
        <f>IF(ISBLANK($A21), "", IFERROR(IF(C$9="By Days Present", SUMPRODUCT((C$39:AG$39=0) + C37:AG37*(C$39:AG$39&gt;0), C$40:AG$40), IF(C$9="Split Equally", C$8 / COUNTA($A$13:$A$22), IF(C$9="Split (Top 3)", IF(ROW()&lt;=15, C$8 / 3, 0), 0))), 0))</f>
        <v/>
      </c>
      <c r="D21" s="14">
        <f>IF(ISBLANK($A21), "", IFERROR(IF(D$9="By Days Present", SUMPRODUCT(((C$39:AG$39=0)/COUNTA($A$13:$A$22) + (C37:AG37/(C$39:AG$39 + (C$39:AG$39=0)))*(C$39:AG$39&gt;0)), (C$28:AG$28&lt;&gt;"") * (D$8 / $F$4)), IF(D$9="Split Equally", D$8 / COUNTA($A$13:$A$22), IF(D$9="Split (Top 3)", IF(ROW()&lt;=15, D$8 / 3, 0), 0))), 0))</f>
        <v/>
      </c>
      <c r="E21" s="14">
        <f>IF(ISBLANK($A21), "", IFERROR(IF(E$9="By Days Present", SUMPRODUCT(((C$39:AG$39=0)/COUNTA($A$13:$A$22) + (C37:AG37/(C$39:AG$39 + (C$39:AG$39=0)))*(C$39:AG$39&gt;0)), (C$28:AG$28&lt;&gt;"") * (E$8 / $F$4)), IF(E$9="Split Equally", E$8 / COUNTA($A$13:$A$22), IF(E$9="Split (Top 3)", IF(ROW()&lt;=15, E$8 / 3, 0), 0))), 0))</f>
        <v/>
      </c>
      <c r="F21" s="14">
        <f>IF(ISBLANK($A21), "", IFERROR(IF(F$9="By Days Present", SUMPRODUCT(((C$39:AG$39=0)/COUNTA($A$13:$A$22) + (C37:AG37/(C$39:AG$39 + (C$39:AG$39=0)))*(C$39:AG$39&gt;0)), (C$28:AG$28&lt;&gt;"") * (F$8 / $F$4)), IF(F$9="Split Equally", F$8 / COUNTA($A$13:$A$22), IF(F$9="Split (Top 3)", IF(ROW()&lt;=15, F$8 / 3, 0), 0))), 0))</f>
        <v/>
      </c>
      <c r="G21" s="10">
        <f>IF(ISBLANK($A21), "", SUM(C21:F21))</f>
        <v/>
      </c>
    </row>
    <row r="22" ht="20" customHeight="1" s="29">
      <c r="A22" s="12" t="n"/>
      <c r="B22" s="13">
        <f>B38</f>
        <v/>
      </c>
      <c r="C22" s="15">
        <f>IF(ISBLANK($A22), "", IFERROR(IF(C$9="By Days Present", SUMPRODUCT((C$39:AG$39=0) + C38:AG38*(C$39:AG$39&gt;0), C$40:AG$40), IF(C$9="Split Equally", C$8 / COUNTA($A$13:$A$22), IF(C$9="Split (Top 3)", IF(ROW()&lt;=15, C$8 / 3, 0), 0))), 0))</f>
        <v/>
      </c>
      <c r="D22" s="15">
        <f>IF(ISBLANK($A22), "", IFERROR(IF(D$9="By Days Present", SUMPRODUCT(((C$39:AG$39=0)/COUNTA($A$13:$A$22) + (C38:AG38/(C$39:AG$39 + (C$39:AG$39=0)))*(C$39:AG$39&gt;0)), (C$28:AG$28&lt;&gt;"") * (D$8 / $F$4)), IF(D$9="Split Equally", D$8 / COUNTA($A$13:$A$22), IF(D$9="Split (Top 3)", IF(ROW()&lt;=15, D$8 / 3, 0), 0))), 0))</f>
        <v/>
      </c>
      <c r="E22" s="15">
        <f>IF(ISBLANK($A22), "", IFERROR(IF(E$9="By Days Present", SUMPRODUCT(((C$39:AG$39=0)/COUNTA($A$13:$A$22) + (C38:AG38/(C$39:AG$39 + (C$39:AG$39=0)))*(C$39:AG$39&gt;0)), (C$28:AG$28&lt;&gt;"") * (E$8 / $F$4)), IF(E$9="Split Equally", E$8 / COUNTA($A$13:$A$22), IF(E$9="Split (Top 3)", IF(ROW()&lt;=15, E$8 / 3, 0), 0))), 0))</f>
        <v/>
      </c>
      <c r="F22" s="15">
        <f>IF(ISBLANK($A22), "", IFERROR(IF(F$9="By Days Present", SUMPRODUCT(((C$39:AG$39=0)/COUNTA($A$13:$A$22) + (C38:AG38/(C$39:AG$39 + (C$39:AG$39=0)))*(C$39:AG$39&gt;0)), (C$28:AG$28&lt;&gt;"") * (F$8 / $F$4)), IF(F$9="Split Equally", F$8 / COUNTA($A$13:$A$22), IF(F$9="Split (Top 3)", IF(ROW()&lt;=15, F$8 / 3, 0), 0))), 0))</f>
        <v/>
      </c>
      <c r="G22" s="10">
        <f>IF(ISBLANK($A22), "", SUM(C22:F22))</f>
        <v/>
      </c>
    </row>
    <row r="23" ht="22" customHeight="1" s="29">
      <c r="A23" s="16" t="inlineStr">
        <is>
          <t>Total Allocated Share</t>
        </is>
      </c>
      <c r="B23" s="17">
        <f>SUM(B13:B22)</f>
        <v/>
      </c>
      <c r="C23" s="18">
        <f>SUM(C13:C22)</f>
        <v/>
      </c>
      <c r="D23" s="18">
        <f>SUM(D13:D22)</f>
        <v/>
      </c>
      <c r="E23" s="18">
        <f>SUM(E13:E22)</f>
        <v/>
      </c>
      <c r="F23" s="18">
        <f>SUM(F13:F22)</f>
        <v/>
      </c>
      <c r="G23" s="18">
        <f>SUM(G13:G22)</f>
        <v/>
      </c>
    </row>
    <row r="24" ht="22" customHeight="1" s="29">
      <c r="A24" s="8" t="inlineStr">
        <is>
          <t>Actual Total Bill Amount</t>
        </is>
      </c>
      <c r="B24" s="11" t="n"/>
      <c r="C24" s="14">
        <f>C8</f>
        <v/>
      </c>
      <c r="D24" s="14">
        <f>D8</f>
        <v/>
      </c>
      <c r="E24" s="14">
        <f>E8</f>
        <v/>
      </c>
      <c r="F24" s="14">
        <f>F8</f>
        <v/>
      </c>
      <c r="G24" s="19">
        <f>G8</f>
        <v/>
      </c>
    </row>
    <row r="25" ht="22" customHeight="1" s="29">
      <c r="A25" s="8" t="inlineStr">
        <is>
          <t>Reconciliation Status</t>
        </is>
      </c>
      <c r="B25" s="11" t="n"/>
      <c r="C25" s="20">
        <f>IF(ABS(C23-C24)&lt;0.01, "✔ Balanced", "❌ Unbalanced")</f>
        <v/>
      </c>
      <c r="D25" s="20">
        <f>IF(ABS(D23-D24)&lt;0.01, "✔ Balanced", "❌ Unbalanced")</f>
        <v/>
      </c>
      <c r="E25" s="20">
        <f>IF(ABS(E23-E24)&lt;0.01, "✔ Balanced", "❌ Unbalanced")</f>
        <v/>
      </c>
      <c r="F25" s="20">
        <f>IF(ABS(F23-F24)&lt;0.01, "✔ Balanced", "❌ Unbalanced")</f>
        <v/>
      </c>
      <c r="G25" s="20">
        <f>IF(ABS(G23-G24)&lt;0.01, "✔ Balanced", "❌ Unbalanced")</f>
        <v/>
      </c>
    </row>
    <row r="27" ht="24" customHeight="1" s="29">
      <c r="A27" s="31" t="inlineStr">
        <is>
          <t>3. DAILY OCCUPANCY TRACKER (Simply enter '1' for each day an occupant is present; leave blank or enter '0' if absent)</t>
        </is>
      </c>
    </row>
    <row r="28" ht="25" customHeight="1" s="29">
      <c r="A28" s="4" t="inlineStr">
        <is>
          <t>Occupant Name</t>
        </is>
      </c>
      <c r="B28" s="6" t="inlineStr">
        <is>
          <t>Total Days</t>
        </is>
      </c>
      <c r="C28" s="21">
        <f>IF(OR($B$4="", ISBLANK($B$4)), "", IF(ISNUMBER($B$4), $B$4, DATEVALUE($B$4)))</f>
        <v/>
      </c>
      <c r="D28" s="21">
        <f>IF(C28="", "", IF(C28+1 &lt;= IF(ISNUMBER($D$4), $D$4, DATEVALUE($D$4)), C28+1, ""))</f>
        <v/>
      </c>
      <c r="E28" s="21">
        <f>IF(D28="", "", IF(D28+1 &lt;= IF(ISNUMBER($D$4), $D$4, DATEVALUE($D$4)), D28+1, ""))</f>
        <v/>
      </c>
      <c r="F28" s="21">
        <f>IF(E28="", "", IF(E28+1 &lt;= IF(ISNUMBER($D$4), $D$4, DATEVALUE($D$4)), E28+1, ""))</f>
        <v/>
      </c>
      <c r="G28" s="21">
        <f>IF(F28="", "", IF(F28+1 &lt;= IF(ISNUMBER($D$4), $D$4, DATEVALUE($D$4)), F28+1, ""))</f>
        <v/>
      </c>
      <c r="H28" s="21">
        <f>IF(G28="", "", IF(G28+1 &lt;= IF(ISNUMBER($D$4), $D$4, DATEVALUE($D$4)), G28+1, ""))</f>
        <v/>
      </c>
      <c r="I28" s="21">
        <f>IF(H28="", "", IF(H28+1 &lt;= IF(ISNUMBER($D$4), $D$4, DATEVALUE($D$4)), H28+1, ""))</f>
        <v/>
      </c>
      <c r="J28" s="21">
        <f>IF(I28="", "", IF(I28+1 &lt;= IF(ISNUMBER($D$4), $D$4, DATEVALUE($D$4)), I28+1, ""))</f>
        <v/>
      </c>
      <c r="K28" s="21">
        <f>IF(J28="", "", IF(J28+1 &lt;= IF(ISNUMBER($D$4), $D$4, DATEVALUE($D$4)), J28+1, ""))</f>
        <v/>
      </c>
      <c r="L28" s="21">
        <f>IF(K28="", "", IF(K28+1 &lt;= IF(ISNUMBER($D$4), $D$4, DATEVALUE($D$4)), K28+1, ""))</f>
        <v/>
      </c>
      <c r="M28" s="21">
        <f>IF(L28="", "", IF(L28+1 &lt;= IF(ISNUMBER($D$4), $D$4, DATEVALUE($D$4)), L28+1, ""))</f>
        <v/>
      </c>
      <c r="N28" s="21">
        <f>IF(M28="", "", IF(M28+1 &lt;= IF(ISNUMBER($D$4), $D$4, DATEVALUE($D$4)), M28+1, ""))</f>
        <v/>
      </c>
      <c r="O28" s="21">
        <f>IF(N28="", "", IF(N28+1 &lt;= IF(ISNUMBER($D$4), $D$4, DATEVALUE($D$4)), N28+1, ""))</f>
        <v/>
      </c>
      <c r="P28" s="21">
        <f>IF(O28="", "", IF(O28+1 &lt;= IF(ISNUMBER($D$4), $D$4, DATEVALUE($D$4)), O28+1, ""))</f>
        <v/>
      </c>
      <c r="Q28" s="21">
        <f>IF(P28="", "", IF(P28+1 &lt;= IF(ISNUMBER($D$4), $D$4, DATEVALUE($D$4)), P28+1, ""))</f>
        <v/>
      </c>
      <c r="R28" s="21">
        <f>IF(Q28="", "", IF(Q28+1 &lt;= IF(ISNUMBER($D$4), $D$4, DATEVALUE($D$4)), Q28+1, ""))</f>
        <v/>
      </c>
      <c r="S28" s="21">
        <f>IF(R28="", "", IF(R28+1 &lt;= IF(ISNUMBER($D$4), $D$4, DATEVALUE($D$4)), R28+1, ""))</f>
        <v/>
      </c>
      <c r="T28" s="21">
        <f>IF(S28="", "", IF(S28+1 &lt;= IF(ISNUMBER($D$4), $D$4, DATEVALUE($D$4)), S28+1, ""))</f>
        <v/>
      </c>
      <c r="U28" s="21">
        <f>IF(T28="", "", IF(T28+1 &lt;= IF(ISNUMBER($D$4), $D$4, DATEVALUE($D$4)), T28+1, ""))</f>
        <v/>
      </c>
      <c r="V28" s="21">
        <f>IF(U28="", "", IF(U28+1 &lt;= IF(ISNUMBER($D$4), $D$4, DATEVALUE($D$4)), U28+1, ""))</f>
        <v/>
      </c>
      <c r="W28" s="21">
        <f>IF(V28="", "", IF(V28+1 &lt;= IF(ISNUMBER($D$4), $D$4, DATEVALUE($D$4)), V28+1, ""))</f>
        <v/>
      </c>
      <c r="X28" s="21">
        <f>IF(W28="", "", IF(W28+1 &lt;= IF(ISNUMBER($D$4), $D$4, DATEVALUE($D$4)), W28+1, ""))</f>
        <v/>
      </c>
      <c r="Y28" s="21">
        <f>IF(X28="", "", IF(X28+1 &lt;= IF(ISNUMBER($D$4), $D$4, DATEVALUE($D$4)), X28+1, ""))</f>
        <v/>
      </c>
      <c r="Z28" s="21">
        <f>IF(Y28="", "", IF(Y28+1 &lt;= IF(ISNUMBER($D$4), $D$4, DATEVALUE($D$4)), Y28+1, ""))</f>
        <v/>
      </c>
      <c r="AA28" s="21">
        <f>IF(Z28="", "", IF(Z28+1 &lt;= IF(ISNUMBER($D$4), $D$4, DATEVALUE($D$4)), Z28+1, ""))</f>
        <v/>
      </c>
      <c r="AB28" s="21">
        <f>IF(AA28="", "", IF(AA28+1 &lt;= IF(ISNUMBER($D$4), $D$4, DATEVALUE($D$4)), AA28+1, ""))</f>
        <v/>
      </c>
      <c r="AC28" s="21">
        <f>IF(AB28="", "", IF(AB28+1 &lt;= IF(ISNUMBER($D$4), $D$4, DATEVALUE($D$4)), AB28+1, ""))</f>
        <v/>
      </c>
      <c r="AD28" s="21">
        <f>IF(AC28="", "", IF(AC28+1 &lt;= IF(ISNUMBER($D$4), $D$4, DATEVALUE($D$4)), AC28+1, ""))</f>
        <v/>
      </c>
      <c r="AE28" s="21">
        <f>IF(AD28="", "", IF(AD28+1 &lt;= IF(ISNUMBER($D$4), $D$4, DATEVALUE($D$4)), AD28+1, ""))</f>
        <v/>
      </c>
      <c r="AF28" s="21">
        <f>IF(AE28="", "", IF(AE28+1 &lt;= IF(ISNUMBER($D$4), $D$4, DATEVALUE($D$4)), AE28+1, ""))</f>
        <v/>
      </c>
      <c r="AG28" s="21">
        <f>IF(AF28="", "", IF(AF28+1 &lt;= IF(ISNUMBER($D$4), $D$4, DATEVALUE($D$4)), AF28+1, ""))</f>
        <v/>
      </c>
      <c r="AH28" s="21">
        <f>IF(AG28="","",IF(AG28+1&lt;=$D$4,AG28+1,""))</f>
        <v/>
      </c>
    </row>
    <row r="29" ht="20" customHeight="1" s="29">
      <c r="A29" s="22">
        <f>A13</f>
        <v/>
      </c>
      <c r="B29" s="23">
        <f>SUMIF(C$28:AG$28, "&lt;&gt;", C29:AG29)</f>
        <v/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 ht="20" customHeight="1" s="29">
      <c r="A30" s="22">
        <f>A14</f>
        <v/>
      </c>
      <c r="B30" s="23">
        <f>SUMIF(C$28:AG$28, "&lt;&gt;", C30:AG30)</f>
        <v/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</row>
    <row r="31" ht="20" customHeight="1" s="29">
      <c r="A31" s="22">
        <f>A15</f>
        <v/>
      </c>
      <c r="B31" s="23">
        <f>SUMIF(C$28:AG$28, "&lt;&gt;", C31:AG31)</f>
        <v/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 ht="20" customHeight="1" s="29">
      <c r="A32" s="22">
        <f>A16</f>
        <v/>
      </c>
      <c r="B32" s="23">
        <f>SUMIF(C$28:AG$28, "&lt;&gt;", C32:AG32)</f>
        <v/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</row>
    <row r="33" ht="20" customHeight="1" s="29">
      <c r="A33" s="22">
        <f>A17</f>
        <v/>
      </c>
      <c r="B33" s="23">
        <f>SUMIF(C$28:AG$28, "&lt;&gt;", C33:AG33)</f>
        <v/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</row>
    <row r="34" ht="20" customHeight="1" s="29">
      <c r="A34" s="22">
        <f>A18</f>
        <v/>
      </c>
      <c r="B34" s="23">
        <f>SUMIF(C$28:AG$28, "&lt;&gt;", C34:AG34)</f>
        <v/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 ht="20" customHeight="1" s="29">
      <c r="A35" s="22">
        <f>A19</f>
        <v/>
      </c>
      <c r="B35" s="23">
        <f>SUMIF(C$28:AG$28, "&lt;&gt;", C35:AG35)</f>
        <v/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 ht="20" customHeight="1" s="29">
      <c r="A36" s="22">
        <f>A20</f>
        <v/>
      </c>
      <c r="B36" s="23">
        <f>SUMIF(C$28:AG$28, "&lt;&gt;", C36:AG36)</f>
        <v/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 ht="20" customHeight="1" s="29">
      <c r="A37" s="22">
        <f>A21</f>
        <v/>
      </c>
      <c r="B37" s="23">
        <f>SUMIF(C$28:AG$28, "&lt;&gt;", C37:AG37)</f>
        <v/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 ht="20" customHeight="1" s="29">
      <c r="A38" s="22">
        <f>A22</f>
        <v/>
      </c>
      <c r="B38" s="23">
        <f>SUMIF(C$28:AG$28, "&lt;&gt;", C38:AG38)</f>
        <v/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 ht="22" customHeight="1" s="29">
      <c r="A39" s="8" t="inlineStr">
        <is>
          <t>Total Present</t>
        </is>
      </c>
      <c r="B39" s="24">
        <f>SUM(B29:B38)</f>
        <v/>
      </c>
      <c r="C39" s="25">
        <f>IF(C$28="","",SUM(C29:C38))</f>
        <v/>
      </c>
      <c r="D39" s="25">
        <f>IF(D$28="","",SUM(D29:D38))</f>
        <v/>
      </c>
      <c r="E39" s="25">
        <f>IF(E$28="","",SUM(E29:E38))</f>
        <v/>
      </c>
      <c r="F39" s="25">
        <f>IF(F$28="","",SUM(F29:F38))</f>
        <v/>
      </c>
      <c r="G39" s="25">
        <f>IF(G$28="","",SUM(G29:G38))</f>
        <v/>
      </c>
      <c r="H39" s="25">
        <f>IF(H$28="","",SUM(H29:H38))</f>
        <v/>
      </c>
      <c r="I39" s="25">
        <f>IF(I$28="","",SUM(I29:I38))</f>
        <v/>
      </c>
      <c r="J39" s="25">
        <f>IF(J$28="","",SUM(J29:J38))</f>
        <v/>
      </c>
      <c r="K39" s="25">
        <f>IF(K$28="","",SUM(K29:K38))</f>
        <v/>
      </c>
      <c r="L39" s="25">
        <f>IF(L$28="","",SUM(L29:L38))</f>
        <v/>
      </c>
      <c r="M39" s="25">
        <f>IF(M$28="","",SUM(M29:M38))</f>
        <v/>
      </c>
      <c r="N39" s="25">
        <f>IF(N$28="","",SUM(N29:N38))</f>
        <v/>
      </c>
      <c r="O39" s="25">
        <f>IF(O$28="","",SUM(O29:O38))</f>
        <v/>
      </c>
      <c r="P39" s="25">
        <f>IF(P$28="","",SUM(P29:P38))</f>
        <v/>
      </c>
      <c r="Q39" s="25">
        <f>IF(Q$28="","",SUM(Q29:Q38))</f>
        <v/>
      </c>
      <c r="R39" s="25">
        <f>IF(R$28="","",SUM(R29:R38))</f>
        <v/>
      </c>
      <c r="S39" s="25">
        <f>IF(S$28="","",SUM(S29:S38))</f>
        <v/>
      </c>
      <c r="T39" s="25">
        <f>IF(T$28="","",SUM(T29:T38))</f>
        <v/>
      </c>
      <c r="U39" s="25">
        <f>IF(U$28="","",SUM(U29:U38))</f>
        <v/>
      </c>
      <c r="V39" s="25">
        <f>IF(V$28="","",SUM(V29:V38))</f>
        <v/>
      </c>
      <c r="W39" s="25">
        <f>IF(W$28="","",SUM(W29:W38))</f>
        <v/>
      </c>
      <c r="X39" s="25">
        <f>IF(X$28="","",SUM(X29:X38))</f>
        <v/>
      </c>
      <c r="Y39" s="25">
        <f>IF(Y$28="","",SUM(Y29:Y38))</f>
        <v/>
      </c>
      <c r="Z39" s="25">
        <f>IF(Z$28="","",SUM(Z29:Z38))</f>
        <v/>
      </c>
      <c r="AA39" s="25">
        <f>IF(AA$28="","",SUM(AA29:AA38))</f>
        <v/>
      </c>
      <c r="AB39" s="25">
        <f>IF(AB$28="","",SUM(AB29:AB38))</f>
        <v/>
      </c>
      <c r="AC39" s="25">
        <f>IF(AC$28="","",SUM(AC29:AC38))</f>
        <v/>
      </c>
      <c r="AD39" s="25">
        <f>IF(AD$28="","",SUM(AD29:AD38))</f>
        <v/>
      </c>
      <c r="AE39" s="25">
        <f>IF(AE$28="","",SUM(AE29:AE38))</f>
        <v/>
      </c>
      <c r="AF39" s="25">
        <f>IF(AF$28="","",SUM(AF29:AF38))</f>
        <v/>
      </c>
      <c r="AG39" s="25">
        <f>IF(AG$28="","",SUM(AG29:AG38))</f>
        <v/>
      </c>
    </row>
    <row r="40" ht="22" customHeight="1" s="29">
      <c r="A40" s="8" t="inlineStr">
        <is>
          <t>PUB Cost per Person/Day</t>
        </is>
      </c>
      <c r="B40" s="26">
        <f>SUM(C40:AG40)</f>
        <v/>
      </c>
      <c r="C40" s="14">
        <f>IF(C$28="", "", IF(C39&gt;0, (C$8 / $F$4) / C39, (C$8 / $F$4) / COUNTA($A$13:$A$22)))</f>
        <v/>
      </c>
      <c r="D40" s="14">
        <f>IF(D$28="", "", IF(D39&gt;0, (C$8 / $F$4) / D39, (C$8 / $F$4) / COUNTA($A$13:$A$22)))</f>
        <v/>
      </c>
      <c r="E40" s="14">
        <f>IF(E$28="", "", IF(E39&gt;0, (C$8 / $F$4) / E39, (C$8 / $F$4) / COUNTA($A$13:$A$22)))</f>
        <v/>
      </c>
      <c r="F40" s="14">
        <f>IF(F$28="", "", IF(F39&gt;0, (C$8 / $F$4) / F39, (C$8 / $F$4) / COUNTA($A$13:$A$22)))</f>
        <v/>
      </c>
      <c r="G40" s="14">
        <f>IF(G$28="", "", IF(G39&gt;0, (C$8 / $F$4) / G39, (C$8 / $F$4) / COUNTA($A$13:$A$22)))</f>
        <v/>
      </c>
      <c r="H40" s="14">
        <f>IF(H$28="", "", IF(H39&gt;0, (C$8 / $F$4) / H39, (C$8 / $F$4) / COUNTA($A$13:$A$22)))</f>
        <v/>
      </c>
      <c r="I40" s="14">
        <f>IF(I$28="", "", IF(I39&gt;0, (C$8 / $F$4) / I39, (C$8 / $F$4) / COUNTA($A$13:$A$22)))</f>
        <v/>
      </c>
      <c r="J40" s="14">
        <f>IF(J$28="", "", IF(J39&gt;0, (C$8 / $F$4) / J39, (C$8 / $F$4) / COUNTA($A$13:$A$22)))</f>
        <v/>
      </c>
      <c r="K40" s="14">
        <f>IF(K$28="", "", IF(K39&gt;0, (C$8 / $F$4) / K39, (C$8 / $F$4) / COUNTA($A$13:$A$22)))</f>
        <v/>
      </c>
      <c r="L40" s="14">
        <f>IF(L$28="", "", IF(L39&gt;0, (C$8 / $F$4) / L39, (C$8 / $F$4) / COUNTA($A$13:$A$22)))</f>
        <v/>
      </c>
      <c r="M40" s="14">
        <f>IF(M$28="", "", IF(M39&gt;0, (C$8 / $F$4) / M39, (C$8 / $F$4) / COUNTA($A$13:$A$22)))</f>
        <v/>
      </c>
      <c r="N40" s="14">
        <f>IF(N$28="", "", IF(N39&gt;0, (C$8 / $F$4) / N39, (C$8 / $F$4) / COUNTA($A$13:$A$22)))</f>
        <v/>
      </c>
      <c r="O40" s="14">
        <f>IF(O$28="", "", IF(O39&gt;0, (C$8 / $F$4) / O39, (C$8 / $F$4) / COUNTA($A$13:$A$22)))</f>
        <v/>
      </c>
      <c r="P40" s="14">
        <f>IF(P$28="", "", IF(P39&gt;0, (C$8 / $F$4) / P39, (C$8 / $F$4) / COUNTA($A$13:$A$22)))</f>
        <v/>
      </c>
      <c r="Q40" s="14">
        <f>IF(Q$28="", "", IF(Q39&gt;0, (C$8 / $F$4) / Q39, (C$8 / $F$4) / COUNTA($A$13:$A$22)))</f>
        <v/>
      </c>
      <c r="R40" s="14">
        <f>IF(R$28="", "", IF(R39&gt;0, (C$8 / $F$4) / R39, (C$8 / $F$4) / COUNTA($A$13:$A$22)))</f>
        <v/>
      </c>
      <c r="S40" s="14">
        <f>IF(S$28="", "", IF(S39&gt;0, (C$8 / $F$4) / S39, (C$8 / $F$4) / COUNTA($A$13:$A$22)))</f>
        <v/>
      </c>
      <c r="T40" s="14">
        <f>IF(T$28="", "", IF(T39&gt;0, (C$8 / $F$4) / T39, (C$8 / $F$4) / COUNTA($A$13:$A$22)))</f>
        <v/>
      </c>
      <c r="U40" s="14">
        <f>IF(U$28="", "", IF(U39&gt;0, (C$8 / $F$4) / U39, (C$8 / $F$4) / COUNTA($A$13:$A$22)))</f>
        <v/>
      </c>
      <c r="V40" s="14">
        <f>IF(V$28="", "", IF(V39&gt;0, (C$8 / $F$4) / V39, (C$8 / $F$4) / COUNTA($A$13:$A$22)))</f>
        <v/>
      </c>
      <c r="W40" s="14">
        <f>IF(W$28="", "", IF(W39&gt;0, (C$8 / $F$4) / W39, (C$8 / $F$4) / COUNTA($A$13:$A$22)))</f>
        <v/>
      </c>
      <c r="X40" s="14">
        <f>IF(X$28="", "", IF(X39&gt;0, (C$8 / $F$4) / X39, (C$8 / $F$4) / COUNTA($A$13:$A$22)))</f>
        <v/>
      </c>
      <c r="Y40" s="14">
        <f>IF(Y$28="", "", IF(Y39&gt;0, (C$8 / $F$4) / Y39, (C$8 / $F$4) / COUNTA($A$13:$A$22)))</f>
        <v/>
      </c>
      <c r="Z40" s="14">
        <f>IF(Z$28="", "", IF(Z39&gt;0, (C$8 / $F$4) / Z39, (C$8 / $F$4) / COUNTA($A$13:$A$22)))</f>
        <v/>
      </c>
      <c r="AA40" s="14">
        <f>IF(AA$28="", "", IF(AA39&gt;0, (C$8 / $F$4) / AA39, (C$8 / $F$4) / COUNTA($A$13:$A$22)))</f>
        <v/>
      </c>
      <c r="AB40" s="14">
        <f>IF(AB$28="", "", IF(AB39&gt;0, (C$8 / $F$4) / AB39, (C$8 / $F$4) / COUNTA($A$13:$A$22)))</f>
        <v/>
      </c>
      <c r="AC40" s="14">
        <f>IF(AC$28="", "", IF(AC39&gt;0, (C$8 / $F$4) / AC39, (C$8 / $F$4) / COUNTA($A$13:$A$22)))</f>
        <v/>
      </c>
      <c r="AD40" s="14">
        <f>IF(AD$28="", "", IF(AD39&gt;0, (C$8 / $F$4) / AD39, (C$8 / $F$4) / COUNTA($A$13:$A$22)))</f>
        <v/>
      </c>
      <c r="AE40" s="14">
        <f>IF(AE$28="", "", IF(AE39&gt;0, (C$8 / $F$4) / AE39, (C$8 / $F$4) / COUNTA($A$13:$A$22)))</f>
        <v/>
      </c>
      <c r="AF40" s="14">
        <f>IF(AF$28="", "", IF(AF39&gt;0, (C$8 / $F$4) / AF39, (C$8 / $F$4) / COUNTA($A$13:$A$22)))</f>
        <v/>
      </c>
      <c r="AG40" s="14">
        <f>IF(AG$28="", "", IF(AG39&gt;0, (C$8 / $F$4) / AG39, (C$8 / $F$4) / COUNTA($A$13:$A$22)))</f>
        <v/>
      </c>
    </row>
    <row r="42" ht="16" customHeight="1" s="29">
      <c r="A42" s="34" t="inlineStr">
        <is>
          <t>HOW TO USE THIS SHEET:</t>
        </is>
      </c>
    </row>
    <row r="43" ht="18" customHeight="1" s="29">
      <c r="A43" s="28" t="inlineStr">
        <is>
          <t>1. Enter Billing Start/End Dates in B4/D4. The billing days calculate automatically.</t>
        </is>
      </c>
    </row>
    <row r="44" ht="18" customHeight="1" s="29">
      <c r="A44" s="28" t="inlineStr">
        <is>
          <t>2. Rename any of the utility headers (C7:F7) as needed (e.g., replace 'Custom 1' with 'Netflix' or 'Gas').</t>
        </is>
      </c>
    </row>
    <row r="45" ht="18" customHeight="1" s="29">
      <c r="A45" s="28" t="inlineStr">
        <is>
          <t>3. Enter the total bill for each utility in the green boxes (C8:F8).</t>
        </is>
      </c>
    </row>
    <row r="46" ht="18" customHeight="1" s="29">
      <c r="A46" s="28" t="inlineStr">
        <is>
          <t>4. Choose split methods in green boxes (C9:F9) - choose 'By Days Present' for variable bills (like PUB), 'Split Equally' for flat bills, or 'Split (Top 3)' to split equally among the first 3 occupants only.</t>
        </is>
      </c>
    </row>
    <row r="47" ht="18" customHeight="1" s="29">
      <c r="A47" s="28" t="inlineStr">
        <is>
          <t>5. Enter occupant names in green boxes A13:A22. They will mirror automatically in the daily tracker.</t>
        </is>
      </c>
    </row>
    <row r="48" ht="18" customHeight="1" s="29">
      <c r="A48" s="28" t="inlineStr">
        <is>
          <t>6. In Section 3 (Daily Occupancy Tracker), enter '1' in the green day columns for each day an occupant is present. Leave blank or enter '0' if they are away.</t>
        </is>
      </c>
    </row>
    <row r="49" ht="18" customHeight="1" s="29">
      <c r="A49" s="28" t="inlineStr">
        <is>
          <t>7. Note: The Day columns in Section 3 link to dates in B4/D4. Changing dates will automatically gray out and disable inactive columns.</t>
        </is>
      </c>
    </row>
    <row r="50" ht="18" customHeight="1" s="29">
      <c r="A50" s="32" t="inlineStr">
        <is>
          <t>💡 Verification status displays '✔ Balanced' when individual shares match the total bill. If some people were away, PUB will show '❌ Unbalanced' to reflect the unallocated vacancy cost of empty days.</t>
        </is>
      </c>
    </row>
  </sheetData>
  <mergeCells count="14">
    <mergeCell ref="A44:G44"/>
    <mergeCell ref="A27:AG27"/>
    <mergeCell ref="A1:G1"/>
    <mergeCell ref="A6:G6"/>
    <mergeCell ref="A50:G50"/>
    <mergeCell ref="A48:G48"/>
    <mergeCell ref="A2:G2"/>
    <mergeCell ref="A42:G42"/>
    <mergeCell ref="A43:G43"/>
    <mergeCell ref="A11:G11"/>
    <mergeCell ref="A49:G49"/>
    <mergeCell ref="A47:G47"/>
    <mergeCell ref="A45:G45"/>
    <mergeCell ref="A46:G46"/>
  </mergeCells>
  <conditionalFormatting sqref="C28:AG40">
    <cfRule type="expression" priority="1" dxfId="0" stopIfTrue="1">
      <formula>C$28=""</formula>
    </cfRule>
  </conditionalFormatting>
  <dataValidations count="1">
    <dataValidation sqref="C9:F9" showDropDown="0" showInputMessage="0" showErrorMessage="0" allowBlank="0" errorTitle="Invalid Entry" error="Your entry is not in the list" promptTitle="Split Method" prompt="Please select a split method" type="list">
      <formula1>"By Days Present,Split Equally,Split (Top 3)"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0"/>
  <sheetViews>
    <sheetView workbookViewId="0">
      <selection activeCell="A1" sqref="A1:G1"/>
    </sheetView>
  </sheetViews>
  <sheetFormatPr baseColWidth="10" defaultColWidth="8.83203125" defaultRowHeight="15"/>
  <cols>
    <col width="24" customWidth="1" style="29" min="1" max="1"/>
    <col width="16" customWidth="1" style="29" min="2" max="2"/>
    <col width="6" customWidth="1" style="29" min="3" max="33"/>
  </cols>
  <sheetData>
    <row r="1" ht="30" customHeight="1" s="29">
      <c r="A1" s="30" t="inlineStr">
        <is>
          <t>HOUSEHOLD UTILITY BILL CALCULATOR - SEPTEMBER 2026</t>
        </is>
      </c>
    </row>
    <row r="2" ht="20" customHeight="1" s="29">
      <c r="A2" s="33" t="inlineStr">
        <is>
          <t>Distribute shared bills dynamically by days present or equal split. Edit the green shaded cells; formulas do the rest.</t>
        </is>
      </c>
    </row>
    <row r="4" ht="22" customHeight="1" s="29">
      <c r="A4" s="34" t="inlineStr">
        <is>
          <t>Billing Start Date:</t>
        </is>
      </c>
      <c r="B4" s="35" t="n">
        <v>46266</v>
      </c>
      <c r="C4" s="34" t="inlineStr">
        <is>
          <t>Billing End Date:</t>
        </is>
      </c>
      <c r="D4" s="35" t="n">
        <v>46295</v>
      </c>
      <c r="E4" s="34" t="inlineStr">
        <is>
          <t>Billing Period Days:</t>
        </is>
      </c>
      <c r="F4" s="3">
        <f>IF(AND($B$4&lt;&gt;"", $D$4&lt;&gt;""), IF(ISNUMBER($D$4), $D$4, DATEVALUE($D$4)) - IF(ISNUMBER($B$4), $B$4, DATEVALUE($B$4)) + 1, "")</f>
        <v/>
      </c>
    </row>
    <row r="6" ht="24" customHeight="1" s="29">
      <c r="A6" s="31" t="inlineStr">
        <is>
          <t>1. UTILITY CONFIGURATION</t>
        </is>
      </c>
    </row>
    <row r="7" ht="25" customHeight="1" s="29">
      <c r="A7" s="4" t="inlineStr">
        <is>
          <t>Utility Item</t>
        </is>
      </c>
      <c r="B7" s="5" t="inlineStr">
        <is>
          <t>Label Description</t>
        </is>
      </c>
      <c r="C7" s="6" t="inlineStr">
        <is>
          <t>PUB</t>
        </is>
      </c>
      <c r="D7" s="6" t="inlineStr">
        <is>
          <t>Internet</t>
        </is>
      </c>
      <c r="E7" s="6" t="inlineStr">
        <is>
          <t>Custom 1</t>
        </is>
      </c>
      <c r="F7" s="6" t="inlineStr">
        <is>
          <t>Custom 2</t>
        </is>
      </c>
      <c r="G7" s="7" t="inlineStr">
        <is>
          <t>TOTAL BILL</t>
        </is>
      </c>
    </row>
    <row r="8" ht="22" customHeight="1" s="29">
      <c r="A8" s="8" t="inlineStr">
        <is>
          <t>Total Bill Amount</t>
        </is>
      </c>
      <c r="B8" s="5" t="inlineStr">
        <is>
          <t>Enter costs -&gt;</t>
        </is>
      </c>
      <c r="C8" s="9" t="n">
        <v>150</v>
      </c>
      <c r="D8" s="9" t="n">
        <v>43.7</v>
      </c>
      <c r="E8" s="9" t="n">
        <v>0</v>
      </c>
      <c r="F8" s="9" t="n">
        <v>0</v>
      </c>
      <c r="G8" s="10">
        <f>SUM(C8:F8)</f>
        <v/>
      </c>
    </row>
    <row r="9" ht="22" customHeight="1" s="29">
      <c r="A9" s="8" t="inlineStr">
        <is>
          <t>Split Method</t>
        </is>
      </c>
      <c r="B9" s="5" t="inlineStr">
        <is>
          <t>Choose method -&gt;</t>
        </is>
      </c>
      <c r="C9" s="2" t="inlineStr">
        <is>
          <t>By Days Present</t>
        </is>
      </c>
      <c r="D9" s="2" t="inlineStr">
        <is>
          <t>Split (Top 3)</t>
        </is>
      </c>
      <c r="E9" s="2" t="inlineStr">
        <is>
          <t>Split Equally</t>
        </is>
      </c>
      <c r="F9" s="2" t="inlineStr">
        <is>
          <t>Split Equally</t>
        </is>
      </c>
      <c r="G9" s="11" t="n"/>
    </row>
    <row r="11" ht="24" customHeight="1" s="29">
      <c r="A11" s="31" t="inlineStr">
        <is>
          <t>2. OCCUPANT DETAIL &amp; BILL DIVISION</t>
        </is>
      </c>
    </row>
    <row r="12" ht="25" customHeight="1" s="29">
      <c r="A12" s="4" t="inlineStr">
        <is>
          <t>Occupant Name</t>
        </is>
      </c>
      <c r="B12" s="6" t="inlineStr">
        <is>
          <t>Days Present</t>
        </is>
      </c>
      <c r="C12" s="6" t="inlineStr">
        <is>
          <t>PUB Share</t>
        </is>
      </c>
      <c r="D12" s="6" t="inlineStr">
        <is>
          <t>Internet Share</t>
        </is>
      </c>
      <c r="E12" s="6" t="inlineStr">
        <is>
          <t>Custom 1</t>
        </is>
      </c>
      <c r="F12" s="6" t="inlineStr">
        <is>
          <t>Custom 2</t>
        </is>
      </c>
      <c r="G12" s="7" t="inlineStr">
        <is>
          <t>Total Owed</t>
        </is>
      </c>
    </row>
    <row r="13" ht="20" customHeight="1" s="29">
      <c r="A13" s="12" t="inlineStr">
        <is>
          <t>Alex</t>
        </is>
      </c>
      <c r="B13" s="13">
        <f>B29</f>
        <v/>
      </c>
      <c r="C13" s="14">
        <f>IF(ISBLANK($A13), "", IFERROR(IF(C$9="By Days Present", SUMPRODUCT((C$39:AG$39=0) + C29:AG29*(C$39:AG$39&gt;0), C$40:AG$40), IF(C$9="Split Equally", C$8 / COUNTA($A$13:$A$22), IF(C$9="Split (Top 3)", IF(ROW()&lt;=15, C$8 / 3, 0), 0))), 0))</f>
        <v/>
      </c>
      <c r="D13" s="14">
        <f>IF(ISBLANK($A13), "", IFERROR(IF(D$9="By Days Present", SUMPRODUCT(((C$39:AG$39=0)/COUNTA($A$13:$A$22) + (C29:AG29/(C$39:AG$39 + (C$39:AG$39=0)))*(C$39:AG$39&gt;0)), (C$28:AG$28&lt;&gt;"") * (D$8 / $F$4)), IF(D$9="Split Equally", D$8 / COUNTA($A$13:$A$22), IF(D$9="Split (Top 3)", IF(ROW()&lt;=15, D$8 / 3, 0), 0))), 0))</f>
        <v/>
      </c>
      <c r="E13" s="14">
        <f>IF(ISBLANK($A13), "", IFERROR(IF(E$9="By Days Present", SUMPRODUCT(((C$39:AG$39=0)/COUNTA($A$13:$A$22) + (C29:AG29/(C$39:AG$39 + (C$39:AG$39=0)))*(C$39:AG$39&gt;0)), (C$28:AG$28&lt;&gt;"") * (E$8 / $F$4)), IF(E$9="Split Equally", E$8 / COUNTA($A$13:$A$22), IF(E$9="Split (Top 3)", IF(ROW()&lt;=15, E$8 / 3, 0), 0))), 0))</f>
        <v/>
      </c>
      <c r="F13" s="14">
        <f>IF(ISBLANK($A13), "", IFERROR(IF(F$9="By Days Present", SUMPRODUCT(((C$39:AG$39=0)/COUNTA($A$13:$A$22) + (C29:AG29/(C$39:AG$39 + (C$39:AG$39=0)))*(C$39:AG$39&gt;0)), (C$28:AG$28&lt;&gt;"") * (F$8 / $F$4)), IF(F$9="Split Equally", F$8 / COUNTA($A$13:$A$22), IF(F$9="Split (Top 3)", IF(ROW()&lt;=15, F$8 / 3, 0), 0))), 0))</f>
        <v/>
      </c>
      <c r="G13" s="10">
        <f>IF(ISBLANK($A13), "", SUM(C13:F13))</f>
        <v/>
      </c>
    </row>
    <row r="14" ht="20" customHeight="1" s="29">
      <c r="A14" s="12" t="inlineStr">
        <is>
          <t>Jordan</t>
        </is>
      </c>
      <c r="B14" s="13">
        <f>B30</f>
        <v/>
      </c>
      <c r="C14" s="15">
        <f>IF(ISBLANK($A14), "", IFERROR(IF(C$9="By Days Present", SUMPRODUCT((C$39:AG$39=0) + C30:AG30*(C$39:AG$39&gt;0), C$40:AG$40), IF(C$9="Split Equally", C$8 / COUNTA($A$13:$A$22), IF(C$9="Split (Top 3)", IF(ROW()&lt;=15, C$8 / 3, 0), 0))), 0))</f>
        <v/>
      </c>
      <c r="D14" s="15">
        <f>IF(ISBLANK($A14), "", IFERROR(IF(D$9="By Days Present", SUMPRODUCT(((C$39:AG$39=0)/COUNTA($A$13:$A$22) + (C30:AG30/(C$39:AG$39 + (C$39:AG$39=0)))*(C$39:AG$39&gt;0)), (C$28:AG$28&lt;&gt;"") * (D$8 / $F$4)), IF(D$9="Split Equally", D$8 / COUNTA($A$13:$A$22), IF(D$9="Split (Top 3)", IF(ROW()&lt;=15, D$8 / 3, 0), 0))), 0))</f>
        <v/>
      </c>
      <c r="E14" s="15">
        <f>IF(ISBLANK($A14), "", IFERROR(IF(E$9="By Days Present", SUMPRODUCT(((C$39:AG$39=0)/COUNTA($A$13:$A$22) + (C30:AG30/(C$39:AG$39 + (C$39:AG$39=0)))*(C$39:AG$39&gt;0)), (C$28:AG$28&lt;&gt;"") * (E$8 / $F$4)), IF(E$9="Split Equally", E$8 / COUNTA($A$13:$A$22), IF(E$9="Split (Top 3)", IF(ROW()&lt;=15, E$8 / 3, 0), 0))), 0))</f>
        <v/>
      </c>
      <c r="F14" s="15">
        <f>IF(ISBLANK($A14), "", IFERROR(IF(F$9="By Days Present", SUMPRODUCT(((C$39:AG$39=0)/COUNTA($A$13:$A$22) + (C30:AG30/(C$39:AG$39 + (C$39:AG$39=0)))*(C$39:AG$39&gt;0)), (C$28:AG$28&lt;&gt;"") * (F$8 / $F$4)), IF(F$9="Split Equally", F$8 / COUNTA($A$13:$A$22), IF(F$9="Split (Top 3)", IF(ROW()&lt;=15, F$8 / 3, 0), 0))), 0))</f>
        <v/>
      </c>
      <c r="G14" s="10">
        <f>IF(ISBLANK($A14), "", SUM(C14:F14))</f>
        <v/>
      </c>
    </row>
    <row r="15" ht="20" customHeight="1" s="29">
      <c r="A15" s="12" t="inlineStr">
        <is>
          <t>Morgan</t>
        </is>
      </c>
      <c r="B15" s="13">
        <f>B31</f>
        <v/>
      </c>
      <c r="C15" s="14">
        <f>IF(ISBLANK($A15), "", IFERROR(IF(C$9="By Days Present", SUMPRODUCT((C$39:AG$39=0) + C31:AG31*(C$39:AG$39&gt;0), C$40:AG$40), IF(C$9="Split Equally", C$8 / COUNTA($A$13:$A$22), IF(C$9="Split (Top 3)", IF(ROW()&lt;=15, C$8 / 3, 0), 0))), 0))</f>
        <v/>
      </c>
      <c r="D15" s="14">
        <f>IF(ISBLANK($A15), "", IFERROR(IF(D$9="By Days Present", SUMPRODUCT(((C$39:AG$39=0)/COUNTA($A$13:$A$22) + (C31:AG31/(C$39:AG$39 + (C$39:AG$39=0)))*(C$39:AG$39&gt;0)), (C$28:AG$28&lt;&gt;"") * (D$8 / $F$4)), IF(D$9="Split Equally", D$8 / COUNTA($A$13:$A$22), IF(D$9="Split (Top 3)", IF(ROW()&lt;=15, D$8 / 3, 0), 0))), 0))</f>
        <v/>
      </c>
      <c r="E15" s="14">
        <f>IF(ISBLANK($A15), "", IFERROR(IF(E$9="By Days Present", SUMPRODUCT(((C$39:AG$39=0)/COUNTA($A$13:$A$22) + (C31:AG31/(C$39:AG$39 + (C$39:AG$39=0)))*(C$39:AG$39&gt;0)), (C$28:AG$28&lt;&gt;"") * (E$8 / $F$4)), IF(E$9="Split Equally", E$8 / COUNTA($A$13:$A$22), IF(E$9="Split (Top 3)", IF(ROW()&lt;=15, E$8 / 3, 0), 0))), 0))</f>
        <v/>
      </c>
      <c r="F15" s="14">
        <f>IF(ISBLANK($A15), "", IFERROR(IF(F$9="By Days Present", SUMPRODUCT(((C$39:AG$39=0)/COUNTA($A$13:$A$22) + (C31:AG31/(C$39:AG$39 + (C$39:AG$39=0)))*(C$39:AG$39&gt;0)), (C$28:AG$28&lt;&gt;"") * (F$8 / $F$4)), IF(F$9="Split Equally", F$8 / COUNTA($A$13:$A$22), IF(F$9="Split (Top 3)", IF(ROW()&lt;=15, F$8 / 3, 0), 0))), 0))</f>
        <v/>
      </c>
      <c r="G15" s="10">
        <f>IF(ISBLANK($A15), "", SUM(C15:F15))</f>
        <v/>
      </c>
    </row>
    <row r="16" ht="20" customHeight="1" s="29">
      <c r="A16" s="12" t="inlineStr">
        <is>
          <t>Taylor</t>
        </is>
      </c>
      <c r="B16" s="13">
        <f>B32</f>
        <v/>
      </c>
      <c r="C16" s="15">
        <f>IF(ISBLANK($A16), "", IFERROR(IF(C$9="By Days Present", SUMPRODUCT((C$39:AG$39=0) + C32:AG32*(C$39:AG$39&gt;0), C$40:AG$40), IF(C$9="Split Equally", C$8 / COUNTA($A$13:$A$22), IF(C$9="Split (Top 3)", IF(ROW()&lt;=15, C$8 / 3, 0), 0))), 0))</f>
        <v/>
      </c>
      <c r="D16" s="15">
        <f>IF(ISBLANK($A16), "", IFERROR(IF(D$9="By Days Present", SUMPRODUCT(((C$39:AG$39=0)/COUNTA($A$13:$A$22) + (C32:AG32/(C$39:AG$39 + (C$39:AG$39=0)))*(C$39:AG$39&gt;0)), (C$28:AG$28&lt;&gt;"") * (D$8 / $F$4)), IF(D$9="Split Equally", D$8 / COUNTA($A$13:$A$22), IF(D$9="Split (Top 3)", IF(ROW()&lt;=15, D$8 / 3, 0), 0))), 0))</f>
        <v/>
      </c>
      <c r="E16" s="15">
        <f>IF(ISBLANK($A16), "", IFERROR(IF(E$9="By Days Present", SUMPRODUCT(((C$39:AG$39=0)/COUNTA($A$13:$A$22) + (C32:AG32/(C$39:AG$39 + (C$39:AG$39=0)))*(C$39:AG$39&gt;0)), (C$28:AG$28&lt;&gt;"") * (E$8 / $F$4)), IF(E$9="Split Equally", E$8 / COUNTA($A$13:$A$22), IF(E$9="Split (Top 3)", IF(ROW()&lt;=15, E$8 / 3, 0), 0))), 0))</f>
        <v/>
      </c>
      <c r="F16" s="15">
        <f>IF(ISBLANK($A16), "", IFERROR(IF(F$9="By Days Present", SUMPRODUCT(((C$39:AG$39=0)/COUNTA($A$13:$A$22) + (C32:AG32/(C$39:AG$39 + (C$39:AG$39=0)))*(C$39:AG$39&gt;0)), (C$28:AG$28&lt;&gt;"") * (F$8 / $F$4)), IF(F$9="Split Equally", F$8 / COUNTA($A$13:$A$22), IF(F$9="Split (Top 3)", IF(ROW()&lt;=15, F$8 / 3, 0), 0))), 0))</f>
        <v/>
      </c>
      <c r="G16" s="10">
        <f>IF(ISBLANK($A16), "", SUM(C16:F16))</f>
        <v/>
      </c>
    </row>
    <row r="17" ht="20" customHeight="1" s="29">
      <c r="A17" s="12" t="n"/>
      <c r="B17" s="13">
        <f>B33</f>
        <v/>
      </c>
      <c r="C17" s="14">
        <f>IF(ISBLANK($A17), "", IFERROR(IF(C$9="By Days Present", SUMPRODUCT((C$39:AG$39=0) + C33:AG33*(C$39:AG$39&gt;0), C$40:AG$40), IF(C$9="Split Equally", C$8 / COUNTA($A$13:$A$22), IF(C$9="Split (Top 3)", IF(ROW()&lt;=15, C$8 / 3, 0), 0))), 0))</f>
        <v/>
      </c>
      <c r="D17" s="14">
        <f>IF(ISBLANK($A17), "", IFERROR(IF(D$9="By Days Present", SUMPRODUCT(((C$39:AG$39=0)/COUNTA($A$13:$A$22) + (C33:AG33/(C$39:AG$39 + (C$39:AG$39=0)))*(C$39:AG$39&gt;0)), (C$28:AG$28&lt;&gt;"") * (D$8 / $F$4)), IF(D$9="Split Equally", D$8 / COUNTA($A$13:$A$22), IF(D$9="Split (Top 3)", IF(ROW()&lt;=15, D$8 / 3, 0), 0))), 0))</f>
        <v/>
      </c>
      <c r="E17" s="14">
        <f>IF(ISBLANK($A17), "", IFERROR(IF(E$9="By Days Present", SUMPRODUCT(((C$39:AG$39=0)/COUNTA($A$13:$A$22) + (C33:AG33/(C$39:AG$39 + (C$39:AG$39=0)))*(C$39:AG$39&gt;0)), (C$28:AG$28&lt;&gt;"") * (E$8 / $F$4)), IF(E$9="Split Equally", E$8 / COUNTA($A$13:$A$22), IF(E$9="Split (Top 3)", IF(ROW()&lt;=15, E$8 / 3, 0), 0))), 0))</f>
        <v/>
      </c>
      <c r="F17" s="14">
        <f>IF(ISBLANK($A17), "", IFERROR(IF(F$9="By Days Present", SUMPRODUCT(((C$39:AG$39=0)/COUNTA($A$13:$A$22) + (C33:AG33/(C$39:AG$39 + (C$39:AG$39=0)))*(C$39:AG$39&gt;0)), (C$28:AG$28&lt;&gt;"") * (F$8 / $F$4)), IF(F$9="Split Equally", F$8 / COUNTA($A$13:$A$22), IF(F$9="Split (Top 3)", IF(ROW()&lt;=15, F$8 / 3, 0), 0))), 0))</f>
        <v/>
      </c>
      <c r="G17" s="10">
        <f>IF(ISBLANK($A17), "", SUM(C17:F17))</f>
        <v/>
      </c>
    </row>
    <row r="18" ht="20" customHeight="1" s="29">
      <c r="A18" s="12" t="n"/>
      <c r="B18" s="13">
        <f>B34</f>
        <v/>
      </c>
      <c r="C18" s="15">
        <f>IF(ISBLANK($A18), "", IFERROR(IF(C$9="By Days Present", SUMPRODUCT((C$39:AG$39=0) + C34:AG34*(C$39:AG$39&gt;0), C$40:AG$40), IF(C$9="Split Equally", C$8 / COUNTA($A$13:$A$22), IF(C$9="Split (Top 3)", IF(ROW()&lt;=15, C$8 / 3, 0), 0))), 0))</f>
        <v/>
      </c>
      <c r="D18" s="15">
        <f>IF(ISBLANK($A18), "", IFERROR(IF(D$9="By Days Present", SUMPRODUCT(((C$39:AG$39=0)/COUNTA($A$13:$A$22) + (C34:AG34/(C$39:AG$39 + (C$39:AG$39=0)))*(C$39:AG$39&gt;0)), (C$28:AG$28&lt;&gt;"") * (D$8 / $F$4)), IF(D$9="Split Equally", D$8 / COUNTA($A$13:$A$22), IF(D$9="Split (Top 3)", IF(ROW()&lt;=15, D$8 / 3, 0), 0))), 0))</f>
        <v/>
      </c>
      <c r="E18" s="15">
        <f>IF(ISBLANK($A18), "", IFERROR(IF(E$9="By Days Present", SUMPRODUCT(((C$39:AG$39=0)/COUNTA($A$13:$A$22) + (C34:AG34/(C$39:AG$39 + (C$39:AG$39=0)))*(C$39:AG$39&gt;0)), (C$28:AG$28&lt;&gt;"") * (E$8 / $F$4)), IF(E$9="Split Equally", E$8 / COUNTA($A$13:$A$22), IF(E$9="Split (Top 3)", IF(ROW()&lt;=15, E$8 / 3, 0), 0))), 0))</f>
        <v/>
      </c>
      <c r="F18" s="15">
        <f>IF(ISBLANK($A18), "", IFERROR(IF(F$9="By Days Present", SUMPRODUCT(((C$39:AG$39=0)/COUNTA($A$13:$A$22) + (C34:AG34/(C$39:AG$39 + (C$39:AG$39=0)))*(C$39:AG$39&gt;0)), (C$28:AG$28&lt;&gt;"") * (F$8 / $F$4)), IF(F$9="Split Equally", F$8 / COUNTA($A$13:$A$22), IF(F$9="Split (Top 3)", IF(ROW()&lt;=15, F$8 / 3, 0), 0))), 0))</f>
        <v/>
      </c>
      <c r="G18" s="10">
        <f>IF(ISBLANK($A18), "", SUM(C18:F18))</f>
        <v/>
      </c>
    </row>
    <row r="19" ht="20" customHeight="1" s="29">
      <c r="A19" s="12" t="n"/>
      <c r="B19" s="13">
        <f>B35</f>
        <v/>
      </c>
      <c r="C19" s="14">
        <f>IF(ISBLANK($A19), "", IFERROR(IF(C$9="By Days Present", SUMPRODUCT((C$39:AG$39=0) + C35:AG35*(C$39:AG$39&gt;0), C$40:AG$40), IF(C$9="Split Equally", C$8 / COUNTA($A$13:$A$22), IF(C$9="Split (Top 3)", IF(ROW()&lt;=15, C$8 / 3, 0), 0))), 0))</f>
        <v/>
      </c>
      <c r="D19" s="14">
        <f>IF(ISBLANK($A19), "", IFERROR(IF(D$9="By Days Present", SUMPRODUCT(((C$39:AG$39=0)/COUNTA($A$13:$A$22) + (C35:AG35/(C$39:AG$39 + (C$39:AG$39=0)))*(C$39:AG$39&gt;0)), (C$28:AG$28&lt;&gt;"") * (D$8 / $F$4)), IF(D$9="Split Equally", D$8 / COUNTA($A$13:$A$22), IF(D$9="Split (Top 3)", IF(ROW()&lt;=15, D$8 / 3, 0), 0))), 0))</f>
        <v/>
      </c>
      <c r="E19" s="14">
        <f>IF(ISBLANK($A19), "", IFERROR(IF(E$9="By Days Present", SUMPRODUCT(((C$39:AG$39=0)/COUNTA($A$13:$A$22) + (C35:AG35/(C$39:AG$39 + (C$39:AG$39=0)))*(C$39:AG$39&gt;0)), (C$28:AG$28&lt;&gt;"") * (E$8 / $F$4)), IF(E$9="Split Equally", E$8 / COUNTA($A$13:$A$22), IF(E$9="Split (Top 3)", IF(ROW()&lt;=15, E$8 / 3, 0), 0))), 0))</f>
        <v/>
      </c>
      <c r="F19" s="14">
        <f>IF(ISBLANK($A19), "", IFERROR(IF(F$9="By Days Present", SUMPRODUCT(((C$39:AG$39=0)/COUNTA($A$13:$A$22) + (C35:AG35/(C$39:AG$39 + (C$39:AG$39=0)))*(C$39:AG$39&gt;0)), (C$28:AG$28&lt;&gt;"") * (F$8 / $F$4)), IF(F$9="Split Equally", F$8 / COUNTA($A$13:$A$22), IF(F$9="Split (Top 3)", IF(ROW()&lt;=15, F$8 / 3, 0), 0))), 0))</f>
        <v/>
      </c>
      <c r="G19" s="10">
        <f>IF(ISBLANK($A19), "", SUM(C19:F19))</f>
        <v/>
      </c>
    </row>
    <row r="20" ht="20" customHeight="1" s="29">
      <c r="A20" s="12" t="n"/>
      <c r="B20" s="13">
        <f>B36</f>
        <v/>
      </c>
      <c r="C20" s="15">
        <f>IF(ISBLANK($A20), "", IFERROR(IF(C$9="By Days Present", SUMPRODUCT((C$39:AG$39=0) + C36:AG36*(C$39:AG$39&gt;0), C$40:AG$40), IF(C$9="Split Equally", C$8 / COUNTA($A$13:$A$22), IF(C$9="Split (Top 3)", IF(ROW()&lt;=15, C$8 / 3, 0), 0))), 0))</f>
        <v/>
      </c>
      <c r="D20" s="15">
        <f>IF(ISBLANK($A20), "", IFERROR(IF(D$9="By Days Present", SUMPRODUCT(((C$39:AG$39=0)/COUNTA($A$13:$A$22) + (C36:AG36/(C$39:AG$39 + (C$39:AG$39=0)))*(C$39:AG$39&gt;0)), (C$28:AG$28&lt;&gt;"") * (D$8 / $F$4)), IF(D$9="Split Equally", D$8 / COUNTA($A$13:$A$22), IF(D$9="Split (Top 3)", IF(ROW()&lt;=15, D$8 / 3, 0), 0))), 0))</f>
        <v/>
      </c>
      <c r="E20" s="15">
        <f>IF(ISBLANK($A20), "", IFERROR(IF(E$9="By Days Present", SUMPRODUCT(((C$39:AG$39=0)/COUNTA($A$13:$A$22) + (C36:AG36/(C$39:AG$39 + (C$39:AG$39=0)))*(C$39:AG$39&gt;0)), (C$28:AG$28&lt;&gt;"") * (E$8 / $F$4)), IF(E$9="Split Equally", E$8 / COUNTA($A$13:$A$22), IF(E$9="Split (Top 3)", IF(ROW()&lt;=15, E$8 / 3, 0), 0))), 0))</f>
        <v/>
      </c>
      <c r="F20" s="15">
        <f>IF(ISBLANK($A20), "", IFERROR(IF(F$9="By Days Present", SUMPRODUCT(((C$39:AG$39=0)/COUNTA($A$13:$A$22) + (C36:AG36/(C$39:AG$39 + (C$39:AG$39=0)))*(C$39:AG$39&gt;0)), (C$28:AG$28&lt;&gt;"") * (F$8 / $F$4)), IF(F$9="Split Equally", F$8 / COUNTA($A$13:$A$22), IF(F$9="Split (Top 3)", IF(ROW()&lt;=15, F$8 / 3, 0), 0))), 0))</f>
        <v/>
      </c>
      <c r="G20" s="10">
        <f>IF(ISBLANK($A20), "", SUM(C20:F20))</f>
        <v/>
      </c>
    </row>
    <row r="21" ht="20" customHeight="1" s="29">
      <c r="A21" s="12" t="n"/>
      <c r="B21" s="13">
        <f>B37</f>
        <v/>
      </c>
      <c r="C21" s="14">
        <f>IF(ISBLANK($A21), "", IFERROR(IF(C$9="By Days Present", SUMPRODUCT((C$39:AG$39=0) + C37:AG37*(C$39:AG$39&gt;0), C$40:AG$40), IF(C$9="Split Equally", C$8 / COUNTA($A$13:$A$22), IF(C$9="Split (Top 3)", IF(ROW()&lt;=15, C$8 / 3, 0), 0))), 0))</f>
        <v/>
      </c>
      <c r="D21" s="14">
        <f>IF(ISBLANK($A21), "", IFERROR(IF(D$9="By Days Present", SUMPRODUCT(((C$39:AG$39=0)/COUNTA($A$13:$A$22) + (C37:AG37/(C$39:AG$39 + (C$39:AG$39=0)))*(C$39:AG$39&gt;0)), (C$28:AG$28&lt;&gt;"") * (D$8 / $F$4)), IF(D$9="Split Equally", D$8 / COUNTA($A$13:$A$22), IF(D$9="Split (Top 3)", IF(ROW()&lt;=15, D$8 / 3, 0), 0))), 0))</f>
        <v/>
      </c>
      <c r="E21" s="14">
        <f>IF(ISBLANK($A21), "", IFERROR(IF(E$9="By Days Present", SUMPRODUCT(((C$39:AG$39=0)/COUNTA($A$13:$A$22) + (C37:AG37/(C$39:AG$39 + (C$39:AG$39=0)))*(C$39:AG$39&gt;0)), (C$28:AG$28&lt;&gt;"") * (E$8 / $F$4)), IF(E$9="Split Equally", E$8 / COUNTA($A$13:$A$22), IF(E$9="Split (Top 3)", IF(ROW()&lt;=15, E$8 / 3, 0), 0))), 0))</f>
        <v/>
      </c>
      <c r="F21" s="14">
        <f>IF(ISBLANK($A21), "", IFERROR(IF(F$9="By Days Present", SUMPRODUCT(((C$39:AG$39=0)/COUNTA($A$13:$A$22) + (C37:AG37/(C$39:AG$39 + (C$39:AG$39=0)))*(C$39:AG$39&gt;0)), (C$28:AG$28&lt;&gt;"") * (F$8 / $F$4)), IF(F$9="Split Equally", F$8 / COUNTA($A$13:$A$22), IF(F$9="Split (Top 3)", IF(ROW()&lt;=15, F$8 / 3, 0), 0))), 0))</f>
        <v/>
      </c>
      <c r="G21" s="10">
        <f>IF(ISBLANK($A21), "", SUM(C21:F21))</f>
        <v/>
      </c>
    </row>
    <row r="22" ht="20" customHeight="1" s="29">
      <c r="A22" s="12" t="n"/>
      <c r="B22" s="13">
        <f>B38</f>
        <v/>
      </c>
      <c r="C22" s="15">
        <f>IF(ISBLANK($A22), "", IFERROR(IF(C$9="By Days Present", SUMPRODUCT((C$39:AG$39=0) + C38:AG38*(C$39:AG$39&gt;0), C$40:AG$40), IF(C$9="Split Equally", C$8 / COUNTA($A$13:$A$22), IF(C$9="Split (Top 3)", IF(ROW()&lt;=15, C$8 / 3, 0), 0))), 0))</f>
        <v/>
      </c>
      <c r="D22" s="15">
        <f>IF(ISBLANK($A22), "", IFERROR(IF(D$9="By Days Present", SUMPRODUCT(((C$39:AG$39=0)/COUNTA($A$13:$A$22) + (C38:AG38/(C$39:AG$39 + (C$39:AG$39=0)))*(C$39:AG$39&gt;0)), (C$28:AG$28&lt;&gt;"") * (D$8 / $F$4)), IF(D$9="Split Equally", D$8 / COUNTA($A$13:$A$22), IF(D$9="Split (Top 3)", IF(ROW()&lt;=15, D$8 / 3, 0), 0))), 0))</f>
        <v/>
      </c>
      <c r="E22" s="15">
        <f>IF(ISBLANK($A22), "", IFERROR(IF(E$9="By Days Present", SUMPRODUCT(((C$39:AG$39=0)/COUNTA($A$13:$A$22) + (C38:AG38/(C$39:AG$39 + (C$39:AG$39=0)))*(C$39:AG$39&gt;0)), (C$28:AG$28&lt;&gt;"") * (E$8 / $F$4)), IF(E$9="Split Equally", E$8 / COUNTA($A$13:$A$22), IF(E$9="Split (Top 3)", IF(ROW()&lt;=15, E$8 / 3, 0), 0))), 0))</f>
        <v/>
      </c>
      <c r="F22" s="15">
        <f>IF(ISBLANK($A22), "", IFERROR(IF(F$9="By Days Present", SUMPRODUCT(((C$39:AG$39=0)/COUNTA($A$13:$A$22) + (C38:AG38/(C$39:AG$39 + (C$39:AG$39=0)))*(C$39:AG$39&gt;0)), (C$28:AG$28&lt;&gt;"") * (F$8 / $F$4)), IF(F$9="Split Equally", F$8 / COUNTA($A$13:$A$22), IF(F$9="Split (Top 3)", IF(ROW()&lt;=15, F$8 / 3, 0), 0))), 0))</f>
        <v/>
      </c>
      <c r="G22" s="10">
        <f>IF(ISBLANK($A22), "", SUM(C22:F22))</f>
        <v/>
      </c>
    </row>
    <row r="23" ht="22" customHeight="1" s="29">
      <c r="A23" s="16" t="inlineStr">
        <is>
          <t>Total Allocated Share</t>
        </is>
      </c>
      <c r="B23" s="17">
        <f>SUM(B13:B22)</f>
        <v/>
      </c>
      <c r="C23" s="18">
        <f>SUM(C13:C22)</f>
        <v/>
      </c>
      <c r="D23" s="18">
        <f>SUM(D13:D22)</f>
        <v/>
      </c>
      <c r="E23" s="18">
        <f>SUM(E13:E22)</f>
        <v/>
      </c>
      <c r="F23" s="18">
        <f>SUM(F13:F22)</f>
        <v/>
      </c>
      <c r="G23" s="18">
        <f>SUM(G13:G22)</f>
        <v/>
      </c>
    </row>
    <row r="24" ht="22" customHeight="1" s="29">
      <c r="A24" s="8" t="inlineStr">
        <is>
          <t>Actual Total Bill Amount</t>
        </is>
      </c>
      <c r="B24" s="11" t="n"/>
      <c r="C24" s="14">
        <f>C8</f>
        <v/>
      </c>
      <c r="D24" s="14">
        <f>D8</f>
        <v/>
      </c>
      <c r="E24" s="14">
        <f>E8</f>
        <v/>
      </c>
      <c r="F24" s="14">
        <f>F8</f>
        <v/>
      </c>
      <c r="G24" s="19">
        <f>G8</f>
        <v/>
      </c>
    </row>
    <row r="25" ht="22" customHeight="1" s="29">
      <c r="A25" s="8" t="inlineStr">
        <is>
          <t>Reconciliation Status</t>
        </is>
      </c>
      <c r="B25" s="11" t="n"/>
      <c r="C25" s="20">
        <f>IF(ABS(C23-C24)&lt;0.01, "✔ Balanced", "❌ Unbalanced")</f>
        <v/>
      </c>
      <c r="D25" s="20">
        <f>IF(ABS(D23-D24)&lt;0.01, "✔ Balanced", "❌ Unbalanced")</f>
        <v/>
      </c>
      <c r="E25" s="20">
        <f>IF(ABS(E23-E24)&lt;0.01, "✔ Balanced", "❌ Unbalanced")</f>
        <v/>
      </c>
      <c r="F25" s="20">
        <f>IF(ABS(F23-F24)&lt;0.01, "✔ Balanced", "❌ Unbalanced")</f>
        <v/>
      </c>
      <c r="G25" s="20">
        <f>IF(ABS(G23-G24)&lt;0.01, "✔ Balanced", "❌ Unbalanced")</f>
        <v/>
      </c>
    </row>
    <row r="27" ht="24" customHeight="1" s="29">
      <c r="A27" s="31" t="inlineStr">
        <is>
          <t>3. DAILY OCCUPANCY TRACKER (Simply enter '1' for each day an occupant is present; leave blank or enter '0' if absent)</t>
        </is>
      </c>
    </row>
    <row r="28" ht="25" customHeight="1" s="29">
      <c r="A28" s="4" t="inlineStr">
        <is>
          <t>Occupant Name</t>
        </is>
      </c>
      <c r="B28" s="6" t="inlineStr">
        <is>
          <t>Total Days</t>
        </is>
      </c>
      <c r="C28" s="21">
        <f>IF(OR($B$4="", ISBLANK($B$4)), "", IF(ISNUMBER($B$4), $B$4, DATEVALUE($B$4)))</f>
        <v/>
      </c>
      <c r="D28" s="21">
        <f>IF(C28="", "", IF(C28+1 &lt;= IF(ISNUMBER($D$4), $D$4, DATEVALUE($D$4)), C28+1, ""))</f>
        <v/>
      </c>
      <c r="E28" s="21">
        <f>IF(D28="", "", IF(D28+1 &lt;= IF(ISNUMBER($D$4), $D$4, DATEVALUE($D$4)), D28+1, ""))</f>
        <v/>
      </c>
      <c r="F28" s="21">
        <f>IF(E28="", "", IF(E28+1 &lt;= IF(ISNUMBER($D$4), $D$4, DATEVALUE($D$4)), E28+1, ""))</f>
        <v/>
      </c>
      <c r="G28" s="21">
        <f>IF(F28="", "", IF(F28+1 &lt;= IF(ISNUMBER($D$4), $D$4, DATEVALUE($D$4)), F28+1, ""))</f>
        <v/>
      </c>
      <c r="H28" s="21">
        <f>IF(G28="", "", IF(G28+1 &lt;= IF(ISNUMBER($D$4), $D$4, DATEVALUE($D$4)), G28+1, ""))</f>
        <v/>
      </c>
      <c r="I28" s="21">
        <f>IF(H28="", "", IF(H28+1 &lt;= IF(ISNUMBER($D$4), $D$4, DATEVALUE($D$4)), H28+1, ""))</f>
        <v/>
      </c>
      <c r="J28" s="21">
        <f>IF(I28="", "", IF(I28+1 &lt;= IF(ISNUMBER($D$4), $D$4, DATEVALUE($D$4)), I28+1, ""))</f>
        <v/>
      </c>
      <c r="K28" s="21">
        <f>IF(J28="", "", IF(J28+1 &lt;= IF(ISNUMBER($D$4), $D$4, DATEVALUE($D$4)), J28+1, ""))</f>
        <v/>
      </c>
      <c r="L28" s="21">
        <f>IF(K28="", "", IF(K28+1 &lt;= IF(ISNUMBER($D$4), $D$4, DATEVALUE($D$4)), K28+1, ""))</f>
        <v/>
      </c>
      <c r="M28" s="21">
        <f>IF(L28="", "", IF(L28+1 &lt;= IF(ISNUMBER($D$4), $D$4, DATEVALUE($D$4)), L28+1, ""))</f>
        <v/>
      </c>
      <c r="N28" s="21">
        <f>IF(M28="", "", IF(M28+1 &lt;= IF(ISNUMBER($D$4), $D$4, DATEVALUE($D$4)), M28+1, ""))</f>
        <v/>
      </c>
      <c r="O28" s="21">
        <f>IF(N28="", "", IF(N28+1 &lt;= IF(ISNUMBER($D$4), $D$4, DATEVALUE($D$4)), N28+1, ""))</f>
        <v/>
      </c>
      <c r="P28" s="21">
        <f>IF(O28="", "", IF(O28+1 &lt;= IF(ISNUMBER($D$4), $D$4, DATEVALUE($D$4)), O28+1, ""))</f>
        <v/>
      </c>
      <c r="Q28" s="21">
        <f>IF(P28="", "", IF(P28+1 &lt;= IF(ISNUMBER($D$4), $D$4, DATEVALUE($D$4)), P28+1, ""))</f>
        <v/>
      </c>
      <c r="R28" s="21">
        <f>IF(Q28="", "", IF(Q28+1 &lt;= IF(ISNUMBER($D$4), $D$4, DATEVALUE($D$4)), Q28+1, ""))</f>
        <v/>
      </c>
      <c r="S28" s="21">
        <f>IF(R28="", "", IF(R28+1 &lt;= IF(ISNUMBER($D$4), $D$4, DATEVALUE($D$4)), R28+1, ""))</f>
        <v/>
      </c>
      <c r="T28" s="21">
        <f>IF(S28="", "", IF(S28+1 &lt;= IF(ISNUMBER($D$4), $D$4, DATEVALUE($D$4)), S28+1, ""))</f>
        <v/>
      </c>
      <c r="U28" s="21">
        <f>IF(T28="", "", IF(T28+1 &lt;= IF(ISNUMBER($D$4), $D$4, DATEVALUE($D$4)), T28+1, ""))</f>
        <v/>
      </c>
      <c r="V28" s="21">
        <f>IF(U28="", "", IF(U28+1 &lt;= IF(ISNUMBER($D$4), $D$4, DATEVALUE($D$4)), U28+1, ""))</f>
        <v/>
      </c>
      <c r="W28" s="21">
        <f>IF(V28="", "", IF(V28+1 &lt;= IF(ISNUMBER($D$4), $D$4, DATEVALUE($D$4)), V28+1, ""))</f>
        <v/>
      </c>
      <c r="X28" s="21">
        <f>IF(W28="", "", IF(W28+1 &lt;= IF(ISNUMBER($D$4), $D$4, DATEVALUE($D$4)), W28+1, ""))</f>
        <v/>
      </c>
      <c r="Y28" s="21">
        <f>IF(X28="", "", IF(X28+1 &lt;= IF(ISNUMBER($D$4), $D$4, DATEVALUE($D$4)), X28+1, ""))</f>
        <v/>
      </c>
      <c r="Z28" s="21">
        <f>IF(Y28="", "", IF(Y28+1 &lt;= IF(ISNUMBER($D$4), $D$4, DATEVALUE($D$4)), Y28+1, ""))</f>
        <v/>
      </c>
      <c r="AA28" s="21">
        <f>IF(Z28="", "", IF(Z28+1 &lt;= IF(ISNUMBER($D$4), $D$4, DATEVALUE($D$4)), Z28+1, ""))</f>
        <v/>
      </c>
      <c r="AB28" s="21">
        <f>IF(AA28="", "", IF(AA28+1 &lt;= IF(ISNUMBER($D$4), $D$4, DATEVALUE($D$4)), AA28+1, ""))</f>
        <v/>
      </c>
      <c r="AC28" s="21">
        <f>IF(AB28="", "", IF(AB28+1 &lt;= IF(ISNUMBER($D$4), $D$4, DATEVALUE($D$4)), AB28+1, ""))</f>
        <v/>
      </c>
      <c r="AD28" s="21">
        <f>IF(AC28="", "", IF(AC28+1 &lt;= IF(ISNUMBER($D$4), $D$4, DATEVALUE($D$4)), AC28+1, ""))</f>
        <v/>
      </c>
      <c r="AE28" s="21">
        <f>IF(AD28="", "", IF(AD28+1 &lt;= IF(ISNUMBER($D$4), $D$4, DATEVALUE($D$4)), AD28+1, ""))</f>
        <v/>
      </c>
      <c r="AF28" s="21">
        <f>IF(AE28="", "", IF(AE28+1 &lt;= IF(ISNUMBER($D$4), $D$4, DATEVALUE($D$4)), AE28+1, ""))</f>
        <v/>
      </c>
      <c r="AG28" s="21">
        <f>IF(AF28="", "", IF(AF28+1 &lt;= IF(ISNUMBER($D$4), $D$4, DATEVALUE($D$4)), AF28+1, ""))</f>
        <v/>
      </c>
      <c r="AH28" s="21">
        <f>IF(AG28="","",IF(AG28+1&lt;=$D$4,AG28+1,""))</f>
        <v/>
      </c>
    </row>
    <row r="29" ht="20" customHeight="1" s="29">
      <c r="A29" s="22">
        <f>A13</f>
        <v/>
      </c>
      <c r="B29" s="23">
        <f>SUMIF(C$28:AG$28, "&lt;&gt;", C29:AG29)</f>
        <v/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 ht="20" customHeight="1" s="29">
      <c r="A30" s="22">
        <f>A14</f>
        <v/>
      </c>
      <c r="B30" s="23">
        <f>SUMIF(C$28:AG$28, "&lt;&gt;", C30:AG30)</f>
        <v/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</row>
    <row r="31" ht="20" customHeight="1" s="29">
      <c r="A31" s="22">
        <f>A15</f>
        <v/>
      </c>
      <c r="B31" s="23">
        <f>SUMIF(C$28:AG$28, "&lt;&gt;", C31:AG31)</f>
        <v/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 ht="20" customHeight="1" s="29">
      <c r="A32" s="22">
        <f>A16</f>
        <v/>
      </c>
      <c r="B32" s="23">
        <f>SUMIF(C$28:AG$28, "&lt;&gt;", C32:AG32)</f>
        <v/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</row>
    <row r="33" ht="20" customHeight="1" s="29">
      <c r="A33" s="22">
        <f>A17</f>
        <v/>
      </c>
      <c r="B33" s="23">
        <f>SUMIF(C$28:AG$28, "&lt;&gt;", C33:AG33)</f>
        <v/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</row>
    <row r="34" ht="20" customHeight="1" s="29">
      <c r="A34" s="22">
        <f>A18</f>
        <v/>
      </c>
      <c r="B34" s="23">
        <f>SUMIF(C$28:AG$28, "&lt;&gt;", C34:AG34)</f>
        <v/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 ht="20" customHeight="1" s="29">
      <c r="A35" s="22">
        <f>A19</f>
        <v/>
      </c>
      <c r="B35" s="23">
        <f>SUMIF(C$28:AG$28, "&lt;&gt;", C35:AG35)</f>
        <v/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 ht="20" customHeight="1" s="29">
      <c r="A36" s="22">
        <f>A20</f>
        <v/>
      </c>
      <c r="B36" s="23">
        <f>SUMIF(C$28:AG$28, "&lt;&gt;", C36:AG36)</f>
        <v/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 ht="20" customHeight="1" s="29">
      <c r="A37" s="22">
        <f>A21</f>
        <v/>
      </c>
      <c r="B37" s="23">
        <f>SUMIF(C$28:AG$28, "&lt;&gt;", C37:AG37)</f>
        <v/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 ht="20" customHeight="1" s="29">
      <c r="A38" s="22">
        <f>A22</f>
        <v/>
      </c>
      <c r="B38" s="23">
        <f>SUMIF(C$28:AG$28, "&lt;&gt;", C38:AG38)</f>
        <v/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 ht="22" customHeight="1" s="29">
      <c r="A39" s="8" t="inlineStr">
        <is>
          <t>Total Present</t>
        </is>
      </c>
      <c r="B39" s="24">
        <f>SUM(B29:B38)</f>
        <v/>
      </c>
      <c r="C39" s="25">
        <f>IF(C$28="","",SUM(C29:C38))</f>
        <v/>
      </c>
      <c r="D39" s="25">
        <f>IF(D$28="","",SUM(D29:D38))</f>
        <v/>
      </c>
      <c r="E39" s="25">
        <f>IF(E$28="","",SUM(E29:E38))</f>
        <v/>
      </c>
      <c r="F39" s="25">
        <f>IF(F$28="","",SUM(F29:F38))</f>
        <v/>
      </c>
      <c r="G39" s="25">
        <f>IF(G$28="","",SUM(G29:G38))</f>
        <v/>
      </c>
      <c r="H39" s="25">
        <f>IF(H$28="","",SUM(H29:H38))</f>
        <v/>
      </c>
      <c r="I39" s="25">
        <f>IF(I$28="","",SUM(I29:I38))</f>
        <v/>
      </c>
      <c r="J39" s="25">
        <f>IF(J$28="","",SUM(J29:J38))</f>
        <v/>
      </c>
      <c r="K39" s="25">
        <f>IF(K$28="","",SUM(K29:K38))</f>
        <v/>
      </c>
      <c r="L39" s="25">
        <f>IF(L$28="","",SUM(L29:L38))</f>
        <v/>
      </c>
      <c r="M39" s="25">
        <f>IF(M$28="","",SUM(M29:M38))</f>
        <v/>
      </c>
      <c r="N39" s="25">
        <f>IF(N$28="","",SUM(N29:N38))</f>
        <v/>
      </c>
      <c r="O39" s="25">
        <f>IF(O$28="","",SUM(O29:O38))</f>
        <v/>
      </c>
      <c r="P39" s="25">
        <f>IF(P$28="","",SUM(P29:P38))</f>
        <v/>
      </c>
      <c r="Q39" s="25">
        <f>IF(Q$28="","",SUM(Q29:Q38))</f>
        <v/>
      </c>
      <c r="R39" s="25">
        <f>IF(R$28="","",SUM(R29:R38))</f>
        <v/>
      </c>
      <c r="S39" s="25">
        <f>IF(S$28="","",SUM(S29:S38))</f>
        <v/>
      </c>
      <c r="T39" s="25">
        <f>IF(T$28="","",SUM(T29:T38))</f>
        <v/>
      </c>
      <c r="U39" s="25">
        <f>IF(U$28="","",SUM(U29:U38))</f>
        <v/>
      </c>
      <c r="V39" s="25">
        <f>IF(V$28="","",SUM(V29:V38))</f>
        <v/>
      </c>
      <c r="W39" s="25">
        <f>IF(W$28="","",SUM(W29:W38))</f>
        <v/>
      </c>
      <c r="X39" s="25">
        <f>IF(X$28="","",SUM(X29:X38))</f>
        <v/>
      </c>
      <c r="Y39" s="25">
        <f>IF(Y$28="","",SUM(Y29:Y38))</f>
        <v/>
      </c>
      <c r="Z39" s="25">
        <f>IF(Z$28="","",SUM(Z29:Z38))</f>
        <v/>
      </c>
      <c r="AA39" s="25">
        <f>IF(AA$28="","",SUM(AA29:AA38))</f>
        <v/>
      </c>
      <c r="AB39" s="25">
        <f>IF(AB$28="","",SUM(AB29:AB38))</f>
        <v/>
      </c>
      <c r="AC39" s="25">
        <f>IF(AC$28="","",SUM(AC29:AC38))</f>
        <v/>
      </c>
      <c r="AD39" s="25">
        <f>IF(AD$28="","",SUM(AD29:AD38))</f>
        <v/>
      </c>
      <c r="AE39" s="25">
        <f>IF(AE$28="","",SUM(AE29:AE38))</f>
        <v/>
      </c>
      <c r="AF39" s="25">
        <f>IF(AF$28="","",SUM(AF29:AF38))</f>
        <v/>
      </c>
      <c r="AG39" s="25">
        <f>IF(AG$28="","",SUM(AG29:AG38))</f>
        <v/>
      </c>
    </row>
    <row r="40" ht="22" customHeight="1" s="29">
      <c r="A40" s="8" t="inlineStr">
        <is>
          <t>PUB Cost per Person/Day</t>
        </is>
      </c>
      <c r="B40" s="26">
        <f>SUM(C40:AG40)</f>
        <v/>
      </c>
      <c r="C40" s="14">
        <f>IF(C$28="", "", IF(C39&gt;0, (C$8 / $F$4) / C39, (C$8 / $F$4) / COUNTA($A$13:$A$22)))</f>
        <v/>
      </c>
      <c r="D40" s="14">
        <f>IF(D$28="", "", IF(D39&gt;0, (C$8 / $F$4) / D39, (C$8 / $F$4) / COUNTA($A$13:$A$22)))</f>
        <v/>
      </c>
      <c r="E40" s="14">
        <f>IF(E$28="", "", IF(E39&gt;0, (C$8 / $F$4) / E39, (C$8 / $F$4) / COUNTA($A$13:$A$22)))</f>
        <v/>
      </c>
      <c r="F40" s="14">
        <f>IF(F$28="", "", IF(F39&gt;0, (C$8 / $F$4) / F39, (C$8 / $F$4) / COUNTA($A$13:$A$22)))</f>
        <v/>
      </c>
      <c r="G40" s="14">
        <f>IF(G$28="", "", IF(G39&gt;0, (C$8 / $F$4) / G39, (C$8 / $F$4) / COUNTA($A$13:$A$22)))</f>
        <v/>
      </c>
      <c r="H40" s="14">
        <f>IF(H$28="", "", IF(H39&gt;0, (C$8 / $F$4) / H39, (C$8 / $F$4) / COUNTA($A$13:$A$22)))</f>
        <v/>
      </c>
      <c r="I40" s="14">
        <f>IF(I$28="", "", IF(I39&gt;0, (C$8 / $F$4) / I39, (C$8 / $F$4) / COUNTA($A$13:$A$22)))</f>
        <v/>
      </c>
      <c r="J40" s="14">
        <f>IF(J$28="", "", IF(J39&gt;0, (C$8 / $F$4) / J39, (C$8 / $F$4) / COUNTA($A$13:$A$22)))</f>
        <v/>
      </c>
      <c r="K40" s="14">
        <f>IF(K$28="", "", IF(K39&gt;0, (C$8 / $F$4) / K39, (C$8 / $F$4) / COUNTA($A$13:$A$22)))</f>
        <v/>
      </c>
      <c r="L40" s="14">
        <f>IF(L$28="", "", IF(L39&gt;0, (C$8 / $F$4) / L39, (C$8 / $F$4) / COUNTA($A$13:$A$22)))</f>
        <v/>
      </c>
      <c r="M40" s="14">
        <f>IF(M$28="", "", IF(M39&gt;0, (C$8 / $F$4) / M39, (C$8 / $F$4) / COUNTA($A$13:$A$22)))</f>
        <v/>
      </c>
      <c r="N40" s="14">
        <f>IF(N$28="", "", IF(N39&gt;0, (C$8 / $F$4) / N39, (C$8 / $F$4) / COUNTA($A$13:$A$22)))</f>
        <v/>
      </c>
      <c r="O40" s="14">
        <f>IF(O$28="", "", IF(O39&gt;0, (C$8 / $F$4) / O39, (C$8 / $F$4) / COUNTA($A$13:$A$22)))</f>
        <v/>
      </c>
      <c r="P40" s="14">
        <f>IF(P$28="", "", IF(P39&gt;0, (C$8 / $F$4) / P39, (C$8 / $F$4) / COUNTA($A$13:$A$22)))</f>
        <v/>
      </c>
      <c r="Q40" s="14">
        <f>IF(Q$28="", "", IF(Q39&gt;0, (C$8 / $F$4) / Q39, (C$8 / $F$4) / COUNTA($A$13:$A$22)))</f>
        <v/>
      </c>
      <c r="R40" s="14">
        <f>IF(R$28="", "", IF(R39&gt;0, (C$8 / $F$4) / R39, (C$8 / $F$4) / COUNTA($A$13:$A$22)))</f>
        <v/>
      </c>
      <c r="S40" s="14">
        <f>IF(S$28="", "", IF(S39&gt;0, (C$8 / $F$4) / S39, (C$8 / $F$4) / COUNTA($A$13:$A$22)))</f>
        <v/>
      </c>
      <c r="T40" s="14">
        <f>IF(T$28="", "", IF(T39&gt;0, (C$8 / $F$4) / T39, (C$8 / $F$4) / COUNTA($A$13:$A$22)))</f>
        <v/>
      </c>
      <c r="U40" s="14">
        <f>IF(U$28="", "", IF(U39&gt;0, (C$8 / $F$4) / U39, (C$8 / $F$4) / COUNTA($A$13:$A$22)))</f>
        <v/>
      </c>
      <c r="V40" s="14">
        <f>IF(V$28="", "", IF(V39&gt;0, (C$8 / $F$4) / V39, (C$8 / $F$4) / COUNTA($A$13:$A$22)))</f>
        <v/>
      </c>
      <c r="W40" s="14">
        <f>IF(W$28="", "", IF(W39&gt;0, (C$8 / $F$4) / W39, (C$8 / $F$4) / COUNTA($A$13:$A$22)))</f>
        <v/>
      </c>
      <c r="X40" s="14">
        <f>IF(X$28="", "", IF(X39&gt;0, (C$8 / $F$4) / X39, (C$8 / $F$4) / COUNTA($A$13:$A$22)))</f>
        <v/>
      </c>
      <c r="Y40" s="14">
        <f>IF(Y$28="", "", IF(Y39&gt;0, (C$8 / $F$4) / Y39, (C$8 / $F$4) / COUNTA($A$13:$A$22)))</f>
        <v/>
      </c>
      <c r="Z40" s="14">
        <f>IF(Z$28="", "", IF(Z39&gt;0, (C$8 / $F$4) / Z39, (C$8 / $F$4) / COUNTA($A$13:$A$22)))</f>
        <v/>
      </c>
      <c r="AA40" s="14">
        <f>IF(AA$28="", "", IF(AA39&gt;0, (C$8 / $F$4) / AA39, (C$8 / $F$4) / COUNTA($A$13:$A$22)))</f>
        <v/>
      </c>
      <c r="AB40" s="14">
        <f>IF(AB$28="", "", IF(AB39&gt;0, (C$8 / $F$4) / AB39, (C$8 / $F$4) / COUNTA($A$13:$A$22)))</f>
        <v/>
      </c>
      <c r="AC40" s="14">
        <f>IF(AC$28="", "", IF(AC39&gt;0, (C$8 / $F$4) / AC39, (C$8 / $F$4) / COUNTA($A$13:$A$22)))</f>
        <v/>
      </c>
      <c r="AD40" s="14">
        <f>IF(AD$28="", "", IF(AD39&gt;0, (C$8 / $F$4) / AD39, (C$8 / $F$4) / COUNTA($A$13:$A$22)))</f>
        <v/>
      </c>
      <c r="AE40" s="14">
        <f>IF(AE$28="", "", IF(AE39&gt;0, (C$8 / $F$4) / AE39, (C$8 / $F$4) / COUNTA($A$13:$A$22)))</f>
        <v/>
      </c>
      <c r="AF40" s="14">
        <f>IF(AF$28="", "", IF(AF39&gt;0, (C$8 / $F$4) / AF39, (C$8 / $F$4) / COUNTA($A$13:$A$22)))</f>
        <v/>
      </c>
      <c r="AG40" s="14">
        <f>IF(AG$28="", "", IF(AG39&gt;0, (C$8 / $F$4) / AG39, (C$8 / $F$4) / COUNTA($A$13:$A$22)))</f>
        <v/>
      </c>
    </row>
    <row r="42" ht="16" customHeight="1" s="29">
      <c r="A42" s="34" t="inlineStr">
        <is>
          <t>HOW TO USE THIS SHEET:</t>
        </is>
      </c>
    </row>
    <row r="43" ht="18" customHeight="1" s="29">
      <c r="A43" s="28" t="inlineStr">
        <is>
          <t>1. Enter Billing Start/End Dates in B4/D4. The billing days calculate automatically.</t>
        </is>
      </c>
    </row>
    <row r="44" ht="18" customHeight="1" s="29">
      <c r="A44" s="28" t="inlineStr">
        <is>
          <t>2. Rename any of the utility headers (C7:F7) as needed (e.g., replace 'Custom 1' with 'Netflix' or 'Gas').</t>
        </is>
      </c>
    </row>
    <row r="45" ht="18" customHeight="1" s="29">
      <c r="A45" s="28" t="inlineStr">
        <is>
          <t>3. Enter the total bill for each utility in the green boxes (C8:F8).</t>
        </is>
      </c>
    </row>
    <row r="46" ht="18" customHeight="1" s="29">
      <c r="A46" s="28" t="inlineStr">
        <is>
          <t>4. Choose split methods in green boxes (C9:F9) - choose 'By Days Present' for variable bills (like PUB), 'Split Equally' for flat bills, or 'Split (Top 3)' to split equally among the first 3 occupants only.</t>
        </is>
      </c>
    </row>
    <row r="47" ht="18" customHeight="1" s="29">
      <c r="A47" s="28" t="inlineStr">
        <is>
          <t>5. Enter occupant names in green boxes A13:A22. They will mirror automatically in the daily tracker.</t>
        </is>
      </c>
    </row>
    <row r="48" ht="18" customHeight="1" s="29">
      <c r="A48" s="28" t="inlineStr">
        <is>
          <t>6. In Section 3 (Daily Occupancy Tracker), enter '1' in the green day columns for each day an occupant is present. Leave blank or enter '0' if they are away.</t>
        </is>
      </c>
    </row>
    <row r="49" ht="18" customHeight="1" s="29">
      <c r="A49" s="28" t="inlineStr">
        <is>
          <t>7. Note: The Day columns in Section 3 link to dates in B4/D4. Changing dates will automatically gray out and disable inactive columns.</t>
        </is>
      </c>
    </row>
    <row r="50" ht="18" customHeight="1" s="29">
      <c r="A50" s="32" t="inlineStr">
        <is>
          <t>💡 Verification status displays '✔ Balanced' when individual shares match the total bill. If some people were away, PUB will show '❌ Unbalanced' to reflect the unallocated vacancy cost of empty days.</t>
        </is>
      </c>
    </row>
  </sheetData>
  <mergeCells count="14">
    <mergeCell ref="A44:G44"/>
    <mergeCell ref="A27:AG27"/>
    <mergeCell ref="A1:G1"/>
    <mergeCell ref="A6:G6"/>
    <mergeCell ref="A50:G50"/>
    <mergeCell ref="A48:G48"/>
    <mergeCell ref="A2:G2"/>
    <mergeCell ref="A42:G42"/>
    <mergeCell ref="A43:G43"/>
    <mergeCell ref="A11:G11"/>
    <mergeCell ref="A49:G49"/>
    <mergeCell ref="A47:G47"/>
    <mergeCell ref="A45:G45"/>
    <mergeCell ref="A46:G46"/>
  </mergeCells>
  <conditionalFormatting sqref="C28:AG40">
    <cfRule type="expression" priority="1" dxfId="0" stopIfTrue="1">
      <formula>C$28=""</formula>
    </cfRule>
  </conditionalFormatting>
  <dataValidations count="1">
    <dataValidation sqref="C9:F9" showDropDown="0" showInputMessage="0" showErrorMessage="0" allowBlank="0" errorTitle="Invalid Entry" error="Your entry is not in the list" promptTitle="Split Method" prompt="Please select a split method" type="list">
      <formula1>"By Days Present,Split Equally,Split (Top 3)"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0"/>
  <sheetViews>
    <sheetView workbookViewId="0">
      <selection activeCell="A1" sqref="A1"/>
    </sheetView>
  </sheetViews>
  <sheetFormatPr baseColWidth="10" defaultColWidth="8.83203125" defaultRowHeight="15"/>
  <cols>
    <col width="24" customWidth="1" style="29" min="1" max="1"/>
    <col width="16" customWidth="1" style="29" min="2" max="2"/>
    <col width="6" customWidth="1" style="29" min="3" max="33"/>
  </cols>
  <sheetData>
    <row r="1" ht="30" customHeight="1" s="29">
      <c r="A1" s="30" t="inlineStr">
        <is>
          <t>HOUSEHOLD UTILITY BILL CALCULATOR - OCTOBER 2026</t>
        </is>
      </c>
    </row>
    <row r="2" ht="20" customHeight="1" s="29">
      <c r="A2" s="33" t="inlineStr">
        <is>
          <t>Distribute shared bills dynamically by days present or equal split. Edit the green shaded cells; formulas do the rest.</t>
        </is>
      </c>
    </row>
    <row r="4" ht="22" customHeight="1" s="29">
      <c r="A4" s="34" t="inlineStr">
        <is>
          <t>Billing Start Date:</t>
        </is>
      </c>
      <c r="B4" s="35" t="n">
        <v>46296</v>
      </c>
      <c r="C4" s="34" t="inlineStr">
        <is>
          <t>Billing End Date:</t>
        </is>
      </c>
      <c r="D4" s="35" t="n">
        <v>46326</v>
      </c>
      <c r="E4" s="34" t="inlineStr">
        <is>
          <t>Billing Period Days:</t>
        </is>
      </c>
      <c r="F4" s="3">
        <f>IF(AND($B$4&lt;&gt;"", $D$4&lt;&gt;""), IF(ISNUMBER($D$4), $D$4, DATEVALUE($D$4)) - IF(ISNUMBER($B$4), $B$4, DATEVALUE($B$4)) + 1, "")</f>
        <v/>
      </c>
    </row>
    <row r="6" ht="24" customHeight="1" s="29">
      <c r="A6" s="31" t="inlineStr">
        <is>
          <t>1. UTILITY CONFIGURATION</t>
        </is>
      </c>
    </row>
    <row r="7" ht="25" customHeight="1" s="29">
      <c r="A7" s="4" t="inlineStr">
        <is>
          <t>Utility Item</t>
        </is>
      </c>
      <c r="B7" s="5" t="inlineStr">
        <is>
          <t>Label Description</t>
        </is>
      </c>
      <c r="C7" s="6" t="inlineStr">
        <is>
          <t>PUB</t>
        </is>
      </c>
      <c r="D7" s="6" t="inlineStr">
        <is>
          <t>Internet</t>
        </is>
      </c>
      <c r="E7" s="6" t="inlineStr">
        <is>
          <t>Custom 1</t>
        </is>
      </c>
      <c r="F7" s="6" t="inlineStr">
        <is>
          <t>Custom 2</t>
        </is>
      </c>
      <c r="G7" s="7" t="inlineStr">
        <is>
          <t>TOTAL BILL</t>
        </is>
      </c>
    </row>
    <row r="8" ht="22" customHeight="1" s="29">
      <c r="A8" s="8" t="inlineStr">
        <is>
          <t>Total Bill Amount</t>
        </is>
      </c>
      <c r="B8" s="5" t="inlineStr">
        <is>
          <t>Enter costs -&gt;</t>
        </is>
      </c>
      <c r="C8" s="9" t="n">
        <v>150</v>
      </c>
      <c r="D8" s="9" t="n">
        <v>43.7</v>
      </c>
      <c r="E8" s="9" t="n">
        <v>0</v>
      </c>
      <c r="F8" s="9" t="n">
        <v>0</v>
      </c>
      <c r="G8" s="10">
        <f>SUM(C8:F8)</f>
        <v/>
      </c>
    </row>
    <row r="9" ht="22" customHeight="1" s="29">
      <c r="A9" s="8" t="inlineStr">
        <is>
          <t>Split Method</t>
        </is>
      </c>
      <c r="B9" s="5" t="inlineStr">
        <is>
          <t>Choose method -&gt;</t>
        </is>
      </c>
      <c r="C9" s="2" t="inlineStr">
        <is>
          <t>By Days Present</t>
        </is>
      </c>
      <c r="D9" s="2" t="inlineStr">
        <is>
          <t>Split (Top 3)</t>
        </is>
      </c>
      <c r="E9" s="2" t="inlineStr">
        <is>
          <t>Split Equally</t>
        </is>
      </c>
      <c r="F9" s="2" t="inlineStr">
        <is>
          <t>Split Equally</t>
        </is>
      </c>
      <c r="G9" s="11" t="n"/>
    </row>
    <row r="11" ht="24" customHeight="1" s="29">
      <c r="A11" s="31" t="inlineStr">
        <is>
          <t>2. OCCUPANT DETAIL &amp; BILL DIVISION</t>
        </is>
      </c>
    </row>
    <row r="12" ht="25" customHeight="1" s="29">
      <c r="A12" s="4" t="inlineStr">
        <is>
          <t>Occupant Name</t>
        </is>
      </c>
      <c r="B12" s="6" t="inlineStr">
        <is>
          <t>Days Present</t>
        </is>
      </c>
      <c r="C12" s="6" t="inlineStr">
        <is>
          <t>PUB Share</t>
        </is>
      </c>
      <c r="D12" s="6" t="inlineStr">
        <is>
          <t>Internet Share</t>
        </is>
      </c>
      <c r="E12" s="6" t="inlineStr">
        <is>
          <t>Custom 1</t>
        </is>
      </c>
      <c r="F12" s="6" t="inlineStr">
        <is>
          <t>Custom 2</t>
        </is>
      </c>
      <c r="G12" s="7" t="inlineStr">
        <is>
          <t>Total Owed</t>
        </is>
      </c>
    </row>
    <row r="13" ht="20" customHeight="1" s="29">
      <c r="A13" s="12" t="inlineStr">
        <is>
          <t>Alex</t>
        </is>
      </c>
      <c r="B13" s="13">
        <f>B29</f>
        <v/>
      </c>
      <c r="C13" s="14">
        <f>IF(ISBLANK($A13), "", IFERROR(IF(C$9="By Days Present", SUMPRODUCT((C$39:AG$39=0) + C29:AG29*(C$39:AG$39&gt;0), C$40:AG$40), IF(C$9="Split Equally", C$8 / COUNTA($A$13:$A$22), IF(C$9="Split (Top 3)", IF(ROW()&lt;=15, C$8 / 3, 0), 0))), 0))</f>
        <v/>
      </c>
      <c r="D13" s="14">
        <f>IF(ISBLANK($A13), "", IFERROR(IF(D$9="By Days Present", SUMPRODUCT(((C$39:AG$39=0)/COUNTA($A$13:$A$22) + (C29:AG29/(C$39:AG$39 + (C$39:AG$39=0)))*(C$39:AG$39&gt;0)), (C$28:AG$28&lt;&gt;"") * (D$8 / $F$4)), IF(D$9="Split Equally", D$8 / COUNTA($A$13:$A$22), IF(D$9="Split (Top 3)", IF(ROW()&lt;=15, D$8 / 3, 0), 0))), 0))</f>
        <v/>
      </c>
      <c r="E13" s="14">
        <f>IF(ISBLANK($A13), "", IFERROR(IF(E$9="By Days Present", SUMPRODUCT(((C$39:AG$39=0)/COUNTA($A$13:$A$22) + (C29:AG29/(C$39:AG$39 + (C$39:AG$39=0)))*(C$39:AG$39&gt;0)), (C$28:AG$28&lt;&gt;"") * (E$8 / $F$4)), IF(E$9="Split Equally", E$8 / COUNTA($A$13:$A$22), IF(E$9="Split (Top 3)", IF(ROW()&lt;=15, E$8 / 3, 0), 0))), 0))</f>
        <v/>
      </c>
      <c r="F13" s="14">
        <f>IF(ISBLANK($A13), "", IFERROR(IF(F$9="By Days Present", SUMPRODUCT(((C$39:AG$39=0)/COUNTA($A$13:$A$22) + (C29:AG29/(C$39:AG$39 + (C$39:AG$39=0)))*(C$39:AG$39&gt;0)), (C$28:AG$28&lt;&gt;"") * (F$8 / $F$4)), IF(F$9="Split Equally", F$8 / COUNTA($A$13:$A$22), IF(F$9="Split (Top 3)", IF(ROW()&lt;=15, F$8 / 3, 0), 0))), 0))</f>
        <v/>
      </c>
      <c r="G13" s="10">
        <f>IF(ISBLANK($A13), "", SUM(C13:F13))</f>
        <v/>
      </c>
    </row>
    <row r="14" ht="20" customHeight="1" s="29">
      <c r="A14" s="12" t="inlineStr">
        <is>
          <t>Jordan</t>
        </is>
      </c>
      <c r="B14" s="13">
        <f>B30</f>
        <v/>
      </c>
      <c r="C14" s="15">
        <f>IF(ISBLANK($A14), "", IFERROR(IF(C$9="By Days Present", SUMPRODUCT((C$39:AG$39=0) + C30:AG30*(C$39:AG$39&gt;0), C$40:AG$40), IF(C$9="Split Equally", C$8 / COUNTA($A$13:$A$22), IF(C$9="Split (Top 3)", IF(ROW()&lt;=15, C$8 / 3, 0), 0))), 0))</f>
        <v/>
      </c>
      <c r="D14" s="15">
        <f>IF(ISBLANK($A14), "", IFERROR(IF(D$9="By Days Present", SUMPRODUCT(((C$39:AG$39=0)/COUNTA($A$13:$A$22) + (C30:AG30/(C$39:AG$39 + (C$39:AG$39=0)))*(C$39:AG$39&gt;0)), (C$28:AG$28&lt;&gt;"") * (D$8 / $F$4)), IF(D$9="Split Equally", D$8 / COUNTA($A$13:$A$22), IF(D$9="Split (Top 3)", IF(ROW()&lt;=15, D$8 / 3, 0), 0))), 0))</f>
        <v/>
      </c>
      <c r="E14" s="15">
        <f>IF(ISBLANK($A14), "", IFERROR(IF(E$9="By Days Present", SUMPRODUCT(((C$39:AG$39=0)/COUNTA($A$13:$A$22) + (C30:AG30/(C$39:AG$39 + (C$39:AG$39=0)))*(C$39:AG$39&gt;0)), (C$28:AG$28&lt;&gt;"") * (E$8 / $F$4)), IF(E$9="Split Equally", E$8 / COUNTA($A$13:$A$22), IF(E$9="Split (Top 3)", IF(ROW()&lt;=15, E$8 / 3, 0), 0))), 0))</f>
        <v/>
      </c>
      <c r="F14" s="15">
        <f>IF(ISBLANK($A14), "", IFERROR(IF(F$9="By Days Present", SUMPRODUCT(((C$39:AG$39=0)/COUNTA($A$13:$A$22) + (C30:AG30/(C$39:AG$39 + (C$39:AG$39=0)))*(C$39:AG$39&gt;0)), (C$28:AG$28&lt;&gt;"") * (F$8 / $F$4)), IF(F$9="Split Equally", F$8 / COUNTA($A$13:$A$22), IF(F$9="Split (Top 3)", IF(ROW()&lt;=15, F$8 / 3, 0), 0))), 0))</f>
        <v/>
      </c>
      <c r="G14" s="10">
        <f>IF(ISBLANK($A14), "", SUM(C14:F14))</f>
        <v/>
      </c>
    </row>
    <row r="15" ht="20" customHeight="1" s="29">
      <c r="A15" s="12" t="inlineStr">
        <is>
          <t>Morgan</t>
        </is>
      </c>
      <c r="B15" s="13">
        <f>B31</f>
        <v/>
      </c>
      <c r="C15" s="14">
        <f>IF(ISBLANK($A15), "", IFERROR(IF(C$9="By Days Present", SUMPRODUCT((C$39:AG$39=0) + C31:AG31*(C$39:AG$39&gt;0), C$40:AG$40), IF(C$9="Split Equally", C$8 / COUNTA($A$13:$A$22), IF(C$9="Split (Top 3)", IF(ROW()&lt;=15, C$8 / 3, 0), 0))), 0))</f>
        <v/>
      </c>
      <c r="D15" s="14">
        <f>IF(ISBLANK($A15), "", IFERROR(IF(D$9="By Days Present", SUMPRODUCT(((C$39:AG$39=0)/COUNTA($A$13:$A$22) + (C31:AG31/(C$39:AG$39 + (C$39:AG$39=0)))*(C$39:AG$39&gt;0)), (C$28:AG$28&lt;&gt;"") * (D$8 / $F$4)), IF(D$9="Split Equally", D$8 / COUNTA($A$13:$A$22), IF(D$9="Split (Top 3)", IF(ROW()&lt;=15, D$8 / 3, 0), 0))), 0))</f>
        <v/>
      </c>
      <c r="E15" s="14">
        <f>IF(ISBLANK($A15), "", IFERROR(IF(E$9="By Days Present", SUMPRODUCT(((C$39:AG$39=0)/COUNTA($A$13:$A$22) + (C31:AG31/(C$39:AG$39 + (C$39:AG$39=0)))*(C$39:AG$39&gt;0)), (C$28:AG$28&lt;&gt;"") * (E$8 / $F$4)), IF(E$9="Split Equally", E$8 / COUNTA($A$13:$A$22), IF(E$9="Split (Top 3)", IF(ROW()&lt;=15, E$8 / 3, 0), 0))), 0))</f>
        <v/>
      </c>
      <c r="F15" s="14">
        <f>IF(ISBLANK($A15), "", IFERROR(IF(F$9="By Days Present", SUMPRODUCT(((C$39:AG$39=0)/COUNTA($A$13:$A$22) + (C31:AG31/(C$39:AG$39 + (C$39:AG$39=0)))*(C$39:AG$39&gt;0)), (C$28:AG$28&lt;&gt;"") * (F$8 / $F$4)), IF(F$9="Split Equally", F$8 / COUNTA($A$13:$A$22), IF(F$9="Split (Top 3)", IF(ROW()&lt;=15, F$8 / 3, 0), 0))), 0))</f>
        <v/>
      </c>
      <c r="G15" s="10">
        <f>IF(ISBLANK($A15), "", SUM(C15:F15))</f>
        <v/>
      </c>
    </row>
    <row r="16" ht="20" customHeight="1" s="29">
      <c r="A16" s="12" t="inlineStr">
        <is>
          <t>Taylor</t>
        </is>
      </c>
      <c r="B16" s="13">
        <f>B32</f>
        <v/>
      </c>
      <c r="C16" s="15">
        <f>IF(ISBLANK($A16), "", IFERROR(IF(C$9="By Days Present", SUMPRODUCT((C$39:AG$39=0) + C32:AG32*(C$39:AG$39&gt;0), C$40:AG$40), IF(C$9="Split Equally", C$8 / COUNTA($A$13:$A$22), IF(C$9="Split (Top 3)", IF(ROW()&lt;=15, C$8 / 3, 0), 0))), 0))</f>
        <v/>
      </c>
      <c r="D16" s="15">
        <f>IF(ISBLANK($A16), "", IFERROR(IF(D$9="By Days Present", SUMPRODUCT(((C$39:AG$39=0)/COUNTA($A$13:$A$22) + (C32:AG32/(C$39:AG$39 + (C$39:AG$39=0)))*(C$39:AG$39&gt;0)), (C$28:AG$28&lt;&gt;"") * (D$8 / $F$4)), IF(D$9="Split Equally", D$8 / COUNTA($A$13:$A$22), IF(D$9="Split (Top 3)", IF(ROW()&lt;=15, D$8 / 3, 0), 0))), 0))</f>
        <v/>
      </c>
      <c r="E16" s="15">
        <f>IF(ISBLANK($A16), "", IFERROR(IF(E$9="By Days Present", SUMPRODUCT(((C$39:AG$39=0)/COUNTA($A$13:$A$22) + (C32:AG32/(C$39:AG$39 + (C$39:AG$39=0)))*(C$39:AG$39&gt;0)), (C$28:AG$28&lt;&gt;"") * (E$8 / $F$4)), IF(E$9="Split Equally", E$8 / COUNTA($A$13:$A$22), IF(E$9="Split (Top 3)", IF(ROW()&lt;=15, E$8 / 3, 0), 0))), 0))</f>
        <v/>
      </c>
      <c r="F16" s="15">
        <f>IF(ISBLANK($A16), "", IFERROR(IF(F$9="By Days Present", SUMPRODUCT(((C$39:AG$39=0)/COUNTA($A$13:$A$22) + (C32:AG32/(C$39:AG$39 + (C$39:AG$39=0)))*(C$39:AG$39&gt;0)), (C$28:AG$28&lt;&gt;"") * (F$8 / $F$4)), IF(F$9="Split Equally", F$8 / COUNTA($A$13:$A$22), IF(F$9="Split (Top 3)", IF(ROW()&lt;=15, F$8 / 3, 0), 0))), 0))</f>
        <v/>
      </c>
      <c r="G16" s="10">
        <f>IF(ISBLANK($A16), "", SUM(C16:F16))</f>
        <v/>
      </c>
    </row>
    <row r="17" ht="20" customHeight="1" s="29">
      <c r="A17" s="12" t="n"/>
      <c r="B17" s="13">
        <f>B33</f>
        <v/>
      </c>
      <c r="C17" s="14">
        <f>IF(ISBLANK($A17), "", IFERROR(IF(C$9="By Days Present", SUMPRODUCT((C$39:AG$39=0) + C33:AG33*(C$39:AG$39&gt;0), C$40:AG$40), IF(C$9="Split Equally", C$8 / COUNTA($A$13:$A$22), IF(C$9="Split (Top 3)", IF(ROW()&lt;=15, C$8 / 3, 0), 0))), 0))</f>
        <v/>
      </c>
      <c r="D17" s="14">
        <f>IF(ISBLANK($A17), "", IFERROR(IF(D$9="By Days Present", SUMPRODUCT(((C$39:AG$39=0)/COUNTA($A$13:$A$22) + (C33:AG33/(C$39:AG$39 + (C$39:AG$39=0)))*(C$39:AG$39&gt;0)), (C$28:AG$28&lt;&gt;"") * (D$8 / $F$4)), IF(D$9="Split Equally", D$8 / COUNTA($A$13:$A$22), IF(D$9="Split (Top 3)", IF(ROW()&lt;=15, D$8 / 3, 0), 0))), 0))</f>
        <v/>
      </c>
      <c r="E17" s="14">
        <f>IF(ISBLANK($A17), "", IFERROR(IF(E$9="By Days Present", SUMPRODUCT(((C$39:AG$39=0)/COUNTA($A$13:$A$22) + (C33:AG33/(C$39:AG$39 + (C$39:AG$39=0)))*(C$39:AG$39&gt;0)), (C$28:AG$28&lt;&gt;"") * (E$8 / $F$4)), IF(E$9="Split Equally", E$8 / COUNTA($A$13:$A$22), IF(E$9="Split (Top 3)", IF(ROW()&lt;=15, E$8 / 3, 0), 0))), 0))</f>
        <v/>
      </c>
      <c r="F17" s="14">
        <f>IF(ISBLANK($A17), "", IFERROR(IF(F$9="By Days Present", SUMPRODUCT(((C$39:AG$39=0)/COUNTA($A$13:$A$22) + (C33:AG33/(C$39:AG$39 + (C$39:AG$39=0)))*(C$39:AG$39&gt;0)), (C$28:AG$28&lt;&gt;"") * (F$8 / $F$4)), IF(F$9="Split Equally", F$8 / COUNTA($A$13:$A$22), IF(F$9="Split (Top 3)", IF(ROW()&lt;=15, F$8 / 3, 0), 0))), 0))</f>
        <v/>
      </c>
      <c r="G17" s="10">
        <f>IF(ISBLANK($A17), "", SUM(C17:F17))</f>
        <v/>
      </c>
    </row>
    <row r="18" ht="20" customHeight="1" s="29">
      <c r="A18" s="12" t="n"/>
      <c r="B18" s="13">
        <f>B34</f>
        <v/>
      </c>
      <c r="C18" s="15">
        <f>IF(ISBLANK($A18), "", IFERROR(IF(C$9="By Days Present", SUMPRODUCT((C$39:AG$39=0) + C34:AG34*(C$39:AG$39&gt;0), C$40:AG$40), IF(C$9="Split Equally", C$8 / COUNTA($A$13:$A$22), IF(C$9="Split (Top 3)", IF(ROW()&lt;=15, C$8 / 3, 0), 0))), 0))</f>
        <v/>
      </c>
      <c r="D18" s="15">
        <f>IF(ISBLANK($A18), "", IFERROR(IF(D$9="By Days Present", SUMPRODUCT(((C$39:AG$39=0)/COUNTA($A$13:$A$22) + (C34:AG34/(C$39:AG$39 + (C$39:AG$39=0)))*(C$39:AG$39&gt;0)), (C$28:AG$28&lt;&gt;"") * (D$8 / $F$4)), IF(D$9="Split Equally", D$8 / COUNTA($A$13:$A$22), IF(D$9="Split (Top 3)", IF(ROW()&lt;=15, D$8 / 3, 0), 0))), 0))</f>
        <v/>
      </c>
      <c r="E18" s="15">
        <f>IF(ISBLANK($A18), "", IFERROR(IF(E$9="By Days Present", SUMPRODUCT(((C$39:AG$39=0)/COUNTA($A$13:$A$22) + (C34:AG34/(C$39:AG$39 + (C$39:AG$39=0)))*(C$39:AG$39&gt;0)), (C$28:AG$28&lt;&gt;"") * (E$8 / $F$4)), IF(E$9="Split Equally", E$8 / COUNTA($A$13:$A$22), IF(E$9="Split (Top 3)", IF(ROW()&lt;=15, E$8 / 3, 0), 0))), 0))</f>
        <v/>
      </c>
      <c r="F18" s="15">
        <f>IF(ISBLANK($A18), "", IFERROR(IF(F$9="By Days Present", SUMPRODUCT(((C$39:AG$39=0)/COUNTA($A$13:$A$22) + (C34:AG34/(C$39:AG$39 + (C$39:AG$39=0)))*(C$39:AG$39&gt;0)), (C$28:AG$28&lt;&gt;"") * (F$8 / $F$4)), IF(F$9="Split Equally", F$8 / COUNTA($A$13:$A$22), IF(F$9="Split (Top 3)", IF(ROW()&lt;=15, F$8 / 3, 0), 0))), 0))</f>
        <v/>
      </c>
      <c r="G18" s="10">
        <f>IF(ISBLANK($A18), "", SUM(C18:F18))</f>
        <v/>
      </c>
    </row>
    <row r="19" ht="20" customHeight="1" s="29">
      <c r="A19" s="12" t="n"/>
      <c r="B19" s="13">
        <f>B35</f>
        <v/>
      </c>
      <c r="C19" s="14">
        <f>IF(ISBLANK($A19), "", IFERROR(IF(C$9="By Days Present", SUMPRODUCT((C$39:AG$39=0) + C35:AG35*(C$39:AG$39&gt;0), C$40:AG$40), IF(C$9="Split Equally", C$8 / COUNTA($A$13:$A$22), IF(C$9="Split (Top 3)", IF(ROW()&lt;=15, C$8 / 3, 0), 0))), 0))</f>
        <v/>
      </c>
      <c r="D19" s="14">
        <f>IF(ISBLANK($A19), "", IFERROR(IF(D$9="By Days Present", SUMPRODUCT(((C$39:AG$39=0)/COUNTA($A$13:$A$22) + (C35:AG35/(C$39:AG$39 + (C$39:AG$39=0)))*(C$39:AG$39&gt;0)), (C$28:AG$28&lt;&gt;"") * (D$8 / $F$4)), IF(D$9="Split Equally", D$8 / COUNTA($A$13:$A$22), IF(D$9="Split (Top 3)", IF(ROW()&lt;=15, D$8 / 3, 0), 0))), 0))</f>
        <v/>
      </c>
      <c r="E19" s="14">
        <f>IF(ISBLANK($A19), "", IFERROR(IF(E$9="By Days Present", SUMPRODUCT(((C$39:AG$39=0)/COUNTA($A$13:$A$22) + (C35:AG35/(C$39:AG$39 + (C$39:AG$39=0)))*(C$39:AG$39&gt;0)), (C$28:AG$28&lt;&gt;"") * (E$8 / $F$4)), IF(E$9="Split Equally", E$8 / COUNTA($A$13:$A$22), IF(E$9="Split (Top 3)", IF(ROW()&lt;=15, E$8 / 3, 0), 0))), 0))</f>
        <v/>
      </c>
      <c r="F19" s="14">
        <f>IF(ISBLANK($A19), "", IFERROR(IF(F$9="By Days Present", SUMPRODUCT(((C$39:AG$39=0)/COUNTA($A$13:$A$22) + (C35:AG35/(C$39:AG$39 + (C$39:AG$39=0)))*(C$39:AG$39&gt;0)), (C$28:AG$28&lt;&gt;"") * (F$8 / $F$4)), IF(F$9="Split Equally", F$8 / COUNTA($A$13:$A$22), IF(F$9="Split (Top 3)", IF(ROW()&lt;=15, F$8 / 3, 0), 0))), 0))</f>
        <v/>
      </c>
      <c r="G19" s="10">
        <f>IF(ISBLANK($A19), "", SUM(C19:F19))</f>
        <v/>
      </c>
    </row>
    <row r="20" ht="20" customHeight="1" s="29">
      <c r="A20" s="12" t="n"/>
      <c r="B20" s="13">
        <f>B36</f>
        <v/>
      </c>
      <c r="C20" s="15">
        <f>IF(ISBLANK($A20), "", IFERROR(IF(C$9="By Days Present", SUMPRODUCT((C$39:AG$39=0) + C36:AG36*(C$39:AG$39&gt;0), C$40:AG$40), IF(C$9="Split Equally", C$8 / COUNTA($A$13:$A$22), IF(C$9="Split (Top 3)", IF(ROW()&lt;=15, C$8 / 3, 0), 0))), 0))</f>
        <v/>
      </c>
      <c r="D20" s="15">
        <f>IF(ISBLANK($A20), "", IFERROR(IF(D$9="By Days Present", SUMPRODUCT(((C$39:AG$39=0)/COUNTA($A$13:$A$22) + (C36:AG36/(C$39:AG$39 + (C$39:AG$39=0)))*(C$39:AG$39&gt;0)), (C$28:AG$28&lt;&gt;"") * (D$8 / $F$4)), IF(D$9="Split Equally", D$8 / COUNTA($A$13:$A$22), IF(D$9="Split (Top 3)", IF(ROW()&lt;=15, D$8 / 3, 0), 0))), 0))</f>
        <v/>
      </c>
      <c r="E20" s="15">
        <f>IF(ISBLANK($A20), "", IFERROR(IF(E$9="By Days Present", SUMPRODUCT(((C$39:AG$39=0)/COUNTA($A$13:$A$22) + (C36:AG36/(C$39:AG$39 + (C$39:AG$39=0)))*(C$39:AG$39&gt;0)), (C$28:AG$28&lt;&gt;"") * (E$8 / $F$4)), IF(E$9="Split Equally", E$8 / COUNTA($A$13:$A$22), IF(E$9="Split (Top 3)", IF(ROW()&lt;=15, E$8 / 3, 0), 0))), 0))</f>
        <v/>
      </c>
      <c r="F20" s="15">
        <f>IF(ISBLANK($A20), "", IFERROR(IF(F$9="By Days Present", SUMPRODUCT(((C$39:AG$39=0)/COUNTA($A$13:$A$22) + (C36:AG36/(C$39:AG$39 + (C$39:AG$39=0)))*(C$39:AG$39&gt;0)), (C$28:AG$28&lt;&gt;"") * (F$8 / $F$4)), IF(F$9="Split Equally", F$8 / COUNTA($A$13:$A$22), IF(F$9="Split (Top 3)", IF(ROW()&lt;=15, F$8 / 3, 0), 0))), 0))</f>
        <v/>
      </c>
      <c r="G20" s="10">
        <f>IF(ISBLANK($A20), "", SUM(C20:F20))</f>
        <v/>
      </c>
    </row>
    <row r="21" ht="20" customHeight="1" s="29">
      <c r="A21" s="12" t="n"/>
      <c r="B21" s="13">
        <f>B37</f>
        <v/>
      </c>
      <c r="C21" s="14">
        <f>IF(ISBLANK($A21), "", IFERROR(IF(C$9="By Days Present", SUMPRODUCT((C$39:AG$39=0) + C37:AG37*(C$39:AG$39&gt;0), C$40:AG$40), IF(C$9="Split Equally", C$8 / COUNTA($A$13:$A$22), IF(C$9="Split (Top 3)", IF(ROW()&lt;=15, C$8 / 3, 0), 0))), 0))</f>
        <v/>
      </c>
      <c r="D21" s="14">
        <f>IF(ISBLANK($A21), "", IFERROR(IF(D$9="By Days Present", SUMPRODUCT(((C$39:AG$39=0)/COUNTA($A$13:$A$22) + (C37:AG37/(C$39:AG$39 + (C$39:AG$39=0)))*(C$39:AG$39&gt;0)), (C$28:AG$28&lt;&gt;"") * (D$8 / $F$4)), IF(D$9="Split Equally", D$8 / COUNTA($A$13:$A$22), IF(D$9="Split (Top 3)", IF(ROW()&lt;=15, D$8 / 3, 0), 0))), 0))</f>
        <v/>
      </c>
      <c r="E21" s="14">
        <f>IF(ISBLANK($A21), "", IFERROR(IF(E$9="By Days Present", SUMPRODUCT(((C$39:AG$39=0)/COUNTA($A$13:$A$22) + (C37:AG37/(C$39:AG$39 + (C$39:AG$39=0)))*(C$39:AG$39&gt;0)), (C$28:AG$28&lt;&gt;"") * (E$8 / $F$4)), IF(E$9="Split Equally", E$8 / COUNTA($A$13:$A$22), IF(E$9="Split (Top 3)", IF(ROW()&lt;=15, E$8 / 3, 0), 0))), 0))</f>
        <v/>
      </c>
      <c r="F21" s="14">
        <f>IF(ISBLANK($A21), "", IFERROR(IF(F$9="By Days Present", SUMPRODUCT(((C$39:AG$39=0)/COUNTA($A$13:$A$22) + (C37:AG37/(C$39:AG$39 + (C$39:AG$39=0)))*(C$39:AG$39&gt;0)), (C$28:AG$28&lt;&gt;"") * (F$8 / $F$4)), IF(F$9="Split Equally", F$8 / COUNTA($A$13:$A$22), IF(F$9="Split (Top 3)", IF(ROW()&lt;=15, F$8 / 3, 0), 0))), 0))</f>
        <v/>
      </c>
      <c r="G21" s="10">
        <f>IF(ISBLANK($A21), "", SUM(C21:F21))</f>
        <v/>
      </c>
    </row>
    <row r="22" ht="20" customHeight="1" s="29">
      <c r="A22" s="12" t="n"/>
      <c r="B22" s="13">
        <f>B38</f>
        <v/>
      </c>
      <c r="C22" s="15">
        <f>IF(ISBLANK($A22), "", IFERROR(IF(C$9="By Days Present", SUMPRODUCT((C$39:AG$39=0) + C38:AG38*(C$39:AG$39&gt;0), C$40:AG$40), IF(C$9="Split Equally", C$8 / COUNTA($A$13:$A$22), IF(C$9="Split (Top 3)", IF(ROW()&lt;=15, C$8 / 3, 0), 0))), 0))</f>
        <v/>
      </c>
      <c r="D22" s="15">
        <f>IF(ISBLANK($A22), "", IFERROR(IF(D$9="By Days Present", SUMPRODUCT(((C$39:AG$39=0)/COUNTA($A$13:$A$22) + (C38:AG38/(C$39:AG$39 + (C$39:AG$39=0)))*(C$39:AG$39&gt;0)), (C$28:AG$28&lt;&gt;"") * (D$8 / $F$4)), IF(D$9="Split Equally", D$8 / COUNTA($A$13:$A$22), IF(D$9="Split (Top 3)", IF(ROW()&lt;=15, D$8 / 3, 0), 0))), 0))</f>
        <v/>
      </c>
      <c r="E22" s="15">
        <f>IF(ISBLANK($A22), "", IFERROR(IF(E$9="By Days Present", SUMPRODUCT(((C$39:AG$39=0)/COUNTA($A$13:$A$22) + (C38:AG38/(C$39:AG$39 + (C$39:AG$39=0)))*(C$39:AG$39&gt;0)), (C$28:AG$28&lt;&gt;"") * (E$8 / $F$4)), IF(E$9="Split Equally", E$8 / COUNTA($A$13:$A$22), IF(E$9="Split (Top 3)", IF(ROW()&lt;=15, E$8 / 3, 0), 0))), 0))</f>
        <v/>
      </c>
      <c r="F22" s="15">
        <f>IF(ISBLANK($A22), "", IFERROR(IF(F$9="By Days Present", SUMPRODUCT(((C$39:AG$39=0)/COUNTA($A$13:$A$22) + (C38:AG38/(C$39:AG$39 + (C$39:AG$39=0)))*(C$39:AG$39&gt;0)), (C$28:AG$28&lt;&gt;"") * (F$8 / $F$4)), IF(F$9="Split Equally", F$8 / COUNTA($A$13:$A$22), IF(F$9="Split (Top 3)", IF(ROW()&lt;=15, F$8 / 3, 0), 0))), 0))</f>
        <v/>
      </c>
      <c r="G22" s="10">
        <f>IF(ISBLANK($A22), "", SUM(C22:F22))</f>
        <v/>
      </c>
    </row>
    <row r="23" ht="22" customHeight="1" s="29">
      <c r="A23" s="16" t="inlineStr">
        <is>
          <t>Total Allocated Share</t>
        </is>
      </c>
      <c r="B23" s="17">
        <f>SUM(B13:B22)</f>
        <v/>
      </c>
      <c r="C23" s="18">
        <f>SUM(C13:C22)</f>
        <v/>
      </c>
      <c r="D23" s="18">
        <f>SUM(D13:D22)</f>
        <v/>
      </c>
      <c r="E23" s="18">
        <f>SUM(E13:E22)</f>
        <v/>
      </c>
      <c r="F23" s="18">
        <f>SUM(F13:F22)</f>
        <v/>
      </c>
      <c r="G23" s="18">
        <f>SUM(G13:G22)</f>
        <v/>
      </c>
    </row>
    <row r="24" ht="22" customHeight="1" s="29">
      <c r="A24" s="8" t="inlineStr">
        <is>
          <t>Actual Total Bill Amount</t>
        </is>
      </c>
      <c r="B24" s="11" t="n"/>
      <c r="C24" s="14">
        <f>C8</f>
        <v/>
      </c>
      <c r="D24" s="14">
        <f>D8</f>
        <v/>
      </c>
      <c r="E24" s="14">
        <f>E8</f>
        <v/>
      </c>
      <c r="F24" s="14">
        <f>F8</f>
        <v/>
      </c>
      <c r="G24" s="19">
        <f>G8</f>
        <v/>
      </c>
    </row>
    <row r="25" ht="22" customHeight="1" s="29">
      <c r="A25" s="8" t="inlineStr">
        <is>
          <t>Reconciliation Status</t>
        </is>
      </c>
      <c r="B25" s="11" t="n"/>
      <c r="C25" s="20">
        <f>IF(ABS(C23-C24)&lt;0.01, "✔ Balanced", "❌ Unbalanced")</f>
        <v/>
      </c>
      <c r="D25" s="20">
        <f>IF(ABS(D23-D24)&lt;0.01, "✔ Balanced", "❌ Unbalanced")</f>
        <v/>
      </c>
      <c r="E25" s="20">
        <f>IF(ABS(E23-E24)&lt;0.01, "✔ Balanced", "❌ Unbalanced")</f>
        <v/>
      </c>
      <c r="F25" s="20">
        <f>IF(ABS(F23-F24)&lt;0.01, "✔ Balanced", "❌ Unbalanced")</f>
        <v/>
      </c>
      <c r="G25" s="20">
        <f>IF(ABS(G23-G24)&lt;0.01, "✔ Balanced", "❌ Unbalanced")</f>
        <v/>
      </c>
    </row>
    <row r="27" ht="24" customHeight="1" s="29">
      <c r="A27" s="31" t="inlineStr">
        <is>
          <t>3. DAILY OCCUPANCY TRACKER (Simply enter '1' for each day an occupant is present; leave blank or enter '0' if absent)</t>
        </is>
      </c>
    </row>
    <row r="28" ht="25" customHeight="1" s="29">
      <c r="A28" s="4" t="inlineStr">
        <is>
          <t>Occupant Name</t>
        </is>
      </c>
      <c r="B28" s="6" t="inlineStr">
        <is>
          <t>Total Days</t>
        </is>
      </c>
      <c r="C28" s="21">
        <f>IF(OR($B$4="", ISBLANK($B$4)), "", IF(ISNUMBER($B$4), $B$4, DATEVALUE($B$4)))</f>
        <v/>
      </c>
      <c r="D28" s="21">
        <f>IF(C28="", "", IF(C28+1 &lt;= IF(ISNUMBER($D$4), $D$4, DATEVALUE($D$4)), C28+1, ""))</f>
        <v/>
      </c>
      <c r="E28" s="21">
        <f>IF(D28="", "", IF(D28+1 &lt;= IF(ISNUMBER($D$4), $D$4, DATEVALUE($D$4)), D28+1, ""))</f>
        <v/>
      </c>
      <c r="F28" s="21">
        <f>IF(E28="", "", IF(E28+1 &lt;= IF(ISNUMBER($D$4), $D$4, DATEVALUE($D$4)), E28+1, ""))</f>
        <v/>
      </c>
      <c r="G28" s="21">
        <f>IF(F28="", "", IF(F28+1 &lt;= IF(ISNUMBER($D$4), $D$4, DATEVALUE($D$4)), F28+1, ""))</f>
        <v/>
      </c>
      <c r="H28" s="21">
        <f>IF(G28="", "", IF(G28+1 &lt;= IF(ISNUMBER($D$4), $D$4, DATEVALUE($D$4)), G28+1, ""))</f>
        <v/>
      </c>
      <c r="I28" s="21">
        <f>IF(H28="", "", IF(H28+1 &lt;= IF(ISNUMBER($D$4), $D$4, DATEVALUE($D$4)), H28+1, ""))</f>
        <v/>
      </c>
      <c r="J28" s="21">
        <f>IF(I28="", "", IF(I28+1 &lt;= IF(ISNUMBER($D$4), $D$4, DATEVALUE($D$4)), I28+1, ""))</f>
        <v/>
      </c>
      <c r="K28" s="21">
        <f>IF(J28="", "", IF(J28+1 &lt;= IF(ISNUMBER($D$4), $D$4, DATEVALUE($D$4)), J28+1, ""))</f>
        <v/>
      </c>
      <c r="L28" s="21">
        <f>IF(K28="", "", IF(K28+1 &lt;= IF(ISNUMBER($D$4), $D$4, DATEVALUE($D$4)), K28+1, ""))</f>
        <v/>
      </c>
      <c r="M28" s="21">
        <f>IF(L28="", "", IF(L28+1 &lt;= IF(ISNUMBER($D$4), $D$4, DATEVALUE($D$4)), L28+1, ""))</f>
        <v/>
      </c>
      <c r="N28" s="21">
        <f>IF(M28="", "", IF(M28+1 &lt;= IF(ISNUMBER($D$4), $D$4, DATEVALUE($D$4)), M28+1, ""))</f>
        <v/>
      </c>
      <c r="O28" s="21">
        <f>IF(N28="", "", IF(N28+1 &lt;= IF(ISNUMBER($D$4), $D$4, DATEVALUE($D$4)), N28+1, ""))</f>
        <v/>
      </c>
      <c r="P28" s="21">
        <f>IF(O28="", "", IF(O28+1 &lt;= IF(ISNUMBER($D$4), $D$4, DATEVALUE($D$4)), O28+1, ""))</f>
        <v/>
      </c>
      <c r="Q28" s="21">
        <f>IF(P28="", "", IF(P28+1 &lt;= IF(ISNUMBER($D$4), $D$4, DATEVALUE($D$4)), P28+1, ""))</f>
        <v/>
      </c>
      <c r="R28" s="21">
        <f>IF(Q28="", "", IF(Q28+1 &lt;= IF(ISNUMBER($D$4), $D$4, DATEVALUE($D$4)), Q28+1, ""))</f>
        <v/>
      </c>
      <c r="S28" s="21">
        <f>IF(R28="", "", IF(R28+1 &lt;= IF(ISNUMBER($D$4), $D$4, DATEVALUE($D$4)), R28+1, ""))</f>
        <v/>
      </c>
      <c r="T28" s="21">
        <f>IF(S28="", "", IF(S28+1 &lt;= IF(ISNUMBER($D$4), $D$4, DATEVALUE($D$4)), S28+1, ""))</f>
        <v/>
      </c>
      <c r="U28" s="21">
        <f>IF(T28="", "", IF(T28+1 &lt;= IF(ISNUMBER($D$4), $D$4, DATEVALUE($D$4)), T28+1, ""))</f>
        <v/>
      </c>
      <c r="V28" s="21">
        <f>IF(U28="", "", IF(U28+1 &lt;= IF(ISNUMBER($D$4), $D$4, DATEVALUE($D$4)), U28+1, ""))</f>
        <v/>
      </c>
      <c r="W28" s="21">
        <f>IF(V28="", "", IF(V28+1 &lt;= IF(ISNUMBER($D$4), $D$4, DATEVALUE($D$4)), V28+1, ""))</f>
        <v/>
      </c>
      <c r="X28" s="21">
        <f>IF(W28="", "", IF(W28+1 &lt;= IF(ISNUMBER($D$4), $D$4, DATEVALUE($D$4)), W28+1, ""))</f>
        <v/>
      </c>
      <c r="Y28" s="21">
        <f>IF(X28="", "", IF(X28+1 &lt;= IF(ISNUMBER($D$4), $D$4, DATEVALUE($D$4)), X28+1, ""))</f>
        <v/>
      </c>
      <c r="Z28" s="21">
        <f>IF(Y28="", "", IF(Y28+1 &lt;= IF(ISNUMBER($D$4), $D$4, DATEVALUE($D$4)), Y28+1, ""))</f>
        <v/>
      </c>
      <c r="AA28" s="21">
        <f>IF(Z28="", "", IF(Z28+1 &lt;= IF(ISNUMBER($D$4), $D$4, DATEVALUE($D$4)), Z28+1, ""))</f>
        <v/>
      </c>
      <c r="AB28" s="21">
        <f>IF(AA28="", "", IF(AA28+1 &lt;= IF(ISNUMBER($D$4), $D$4, DATEVALUE($D$4)), AA28+1, ""))</f>
        <v/>
      </c>
      <c r="AC28" s="21">
        <f>IF(AB28="", "", IF(AB28+1 &lt;= IF(ISNUMBER($D$4), $D$4, DATEVALUE($D$4)), AB28+1, ""))</f>
        <v/>
      </c>
      <c r="AD28" s="21">
        <f>IF(AC28="", "", IF(AC28+1 &lt;= IF(ISNUMBER($D$4), $D$4, DATEVALUE($D$4)), AC28+1, ""))</f>
        <v/>
      </c>
      <c r="AE28" s="21">
        <f>IF(AD28="", "", IF(AD28+1 &lt;= IF(ISNUMBER($D$4), $D$4, DATEVALUE($D$4)), AD28+1, ""))</f>
        <v/>
      </c>
      <c r="AF28" s="21">
        <f>IF(AE28="", "", IF(AE28+1 &lt;= IF(ISNUMBER($D$4), $D$4, DATEVALUE($D$4)), AE28+1, ""))</f>
        <v/>
      </c>
      <c r="AG28" s="21">
        <f>IF(AF28="", "", IF(AF28+1 &lt;= IF(ISNUMBER($D$4), $D$4, DATEVALUE($D$4)), AF28+1, ""))</f>
        <v/>
      </c>
      <c r="AH28" s="21">
        <f>IF(AG28="","",IF(AG28+1&lt;=$D$4,AG28+1,""))</f>
        <v/>
      </c>
    </row>
    <row r="29" ht="20" customHeight="1" s="29">
      <c r="A29" s="22">
        <f>A13</f>
        <v/>
      </c>
      <c r="B29" s="23">
        <f>SUMIF(C$28:AG$28, "&lt;&gt;", C29:AG29)</f>
        <v/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 ht="20" customHeight="1" s="29">
      <c r="A30" s="22">
        <f>A14</f>
        <v/>
      </c>
      <c r="B30" s="23">
        <f>SUMIF(C$28:AG$28, "&lt;&gt;", C30:AG30)</f>
        <v/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</row>
    <row r="31" ht="20" customHeight="1" s="29">
      <c r="A31" s="22">
        <f>A15</f>
        <v/>
      </c>
      <c r="B31" s="23">
        <f>SUMIF(C$28:AG$28, "&lt;&gt;", C31:AG31)</f>
        <v/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 ht="20" customHeight="1" s="29">
      <c r="A32" s="22">
        <f>A16</f>
        <v/>
      </c>
      <c r="B32" s="23">
        <f>SUMIF(C$28:AG$28, "&lt;&gt;", C32:AG32)</f>
        <v/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</row>
    <row r="33" ht="20" customHeight="1" s="29">
      <c r="A33" s="22">
        <f>A17</f>
        <v/>
      </c>
      <c r="B33" s="23">
        <f>SUMIF(C$28:AG$28, "&lt;&gt;", C33:AG33)</f>
        <v/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</row>
    <row r="34" ht="20" customHeight="1" s="29">
      <c r="A34" s="22">
        <f>A18</f>
        <v/>
      </c>
      <c r="B34" s="23">
        <f>SUMIF(C$28:AG$28, "&lt;&gt;", C34:AG34)</f>
        <v/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 ht="20" customHeight="1" s="29">
      <c r="A35" s="22">
        <f>A19</f>
        <v/>
      </c>
      <c r="B35" s="23">
        <f>SUMIF(C$28:AG$28, "&lt;&gt;", C35:AG35)</f>
        <v/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 ht="20" customHeight="1" s="29">
      <c r="A36" s="22">
        <f>A20</f>
        <v/>
      </c>
      <c r="B36" s="23">
        <f>SUMIF(C$28:AG$28, "&lt;&gt;", C36:AG36)</f>
        <v/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 ht="20" customHeight="1" s="29">
      <c r="A37" s="22">
        <f>A21</f>
        <v/>
      </c>
      <c r="B37" s="23">
        <f>SUMIF(C$28:AG$28, "&lt;&gt;", C37:AG37)</f>
        <v/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 ht="20" customHeight="1" s="29">
      <c r="A38" s="22">
        <f>A22</f>
        <v/>
      </c>
      <c r="B38" s="23">
        <f>SUMIF(C$28:AG$28, "&lt;&gt;", C38:AG38)</f>
        <v/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 ht="22" customHeight="1" s="29">
      <c r="A39" s="8" t="inlineStr">
        <is>
          <t>Total Present</t>
        </is>
      </c>
      <c r="B39" s="24">
        <f>SUM(B29:B38)</f>
        <v/>
      </c>
      <c r="C39" s="25">
        <f>IF(C$28="","",SUM(C29:C38))</f>
        <v/>
      </c>
      <c r="D39" s="25">
        <f>IF(D$28="","",SUM(D29:D38))</f>
        <v/>
      </c>
      <c r="E39" s="25">
        <f>IF(E$28="","",SUM(E29:E38))</f>
        <v/>
      </c>
      <c r="F39" s="25">
        <f>IF(F$28="","",SUM(F29:F38))</f>
        <v/>
      </c>
      <c r="G39" s="25">
        <f>IF(G$28="","",SUM(G29:G38))</f>
        <v/>
      </c>
      <c r="H39" s="25">
        <f>IF(H$28="","",SUM(H29:H38))</f>
        <v/>
      </c>
      <c r="I39" s="25">
        <f>IF(I$28="","",SUM(I29:I38))</f>
        <v/>
      </c>
      <c r="J39" s="25">
        <f>IF(J$28="","",SUM(J29:J38))</f>
        <v/>
      </c>
      <c r="K39" s="25">
        <f>IF(K$28="","",SUM(K29:K38))</f>
        <v/>
      </c>
      <c r="L39" s="25">
        <f>IF(L$28="","",SUM(L29:L38))</f>
        <v/>
      </c>
      <c r="M39" s="25">
        <f>IF(M$28="","",SUM(M29:M38))</f>
        <v/>
      </c>
      <c r="N39" s="25">
        <f>IF(N$28="","",SUM(N29:N38))</f>
        <v/>
      </c>
      <c r="O39" s="25">
        <f>IF(O$28="","",SUM(O29:O38))</f>
        <v/>
      </c>
      <c r="P39" s="25">
        <f>IF(P$28="","",SUM(P29:P38))</f>
        <v/>
      </c>
      <c r="Q39" s="25">
        <f>IF(Q$28="","",SUM(Q29:Q38))</f>
        <v/>
      </c>
      <c r="R39" s="25">
        <f>IF(R$28="","",SUM(R29:R38))</f>
        <v/>
      </c>
      <c r="S39" s="25">
        <f>IF(S$28="","",SUM(S29:S38))</f>
        <v/>
      </c>
      <c r="T39" s="25">
        <f>IF(T$28="","",SUM(T29:T38))</f>
        <v/>
      </c>
      <c r="U39" s="25">
        <f>IF(U$28="","",SUM(U29:U38))</f>
        <v/>
      </c>
      <c r="V39" s="25">
        <f>IF(V$28="","",SUM(V29:V38))</f>
        <v/>
      </c>
      <c r="W39" s="25">
        <f>IF(W$28="","",SUM(W29:W38))</f>
        <v/>
      </c>
      <c r="X39" s="25">
        <f>IF(X$28="","",SUM(X29:X38))</f>
        <v/>
      </c>
      <c r="Y39" s="25">
        <f>IF(Y$28="","",SUM(Y29:Y38))</f>
        <v/>
      </c>
      <c r="Z39" s="25">
        <f>IF(Z$28="","",SUM(Z29:Z38))</f>
        <v/>
      </c>
      <c r="AA39" s="25">
        <f>IF(AA$28="","",SUM(AA29:AA38))</f>
        <v/>
      </c>
      <c r="AB39" s="25">
        <f>IF(AB$28="","",SUM(AB29:AB38))</f>
        <v/>
      </c>
      <c r="AC39" s="25">
        <f>IF(AC$28="","",SUM(AC29:AC38))</f>
        <v/>
      </c>
      <c r="AD39" s="25">
        <f>IF(AD$28="","",SUM(AD29:AD38))</f>
        <v/>
      </c>
      <c r="AE39" s="25">
        <f>IF(AE$28="","",SUM(AE29:AE38))</f>
        <v/>
      </c>
      <c r="AF39" s="25">
        <f>IF(AF$28="","",SUM(AF29:AF38))</f>
        <v/>
      </c>
      <c r="AG39" s="25">
        <f>IF(AG$28="","",SUM(AG29:AG38))</f>
        <v/>
      </c>
    </row>
    <row r="40" ht="22" customHeight="1" s="29">
      <c r="A40" s="8" t="inlineStr">
        <is>
          <t>PUB Cost per Person/Day</t>
        </is>
      </c>
      <c r="B40" s="26">
        <f>SUM(C40:AG40)</f>
        <v/>
      </c>
      <c r="C40" s="14">
        <f>IF(C$28="", "", IF(C39&gt;0, (C$8 / $F$4) / C39, (C$8 / $F$4) / COUNTA($A$13:$A$22)))</f>
        <v/>
      </c>
      <c r="D40" s="14">
        <f>IF(D$28="", "", IF(D39&gt;0, (C$8 / $F$4) / D39, (C$8 / $F$4) / COUNTA($A$13:$A$22)))</f>
        <v/>
      </c>
      <c r="E40" s="14">
        <f>IF(E$28="", "", IF(E39&gt;0, (C$8 / $F$4) / E39, (C$8 / $F$4) / COUNTA($A$13:$A$22)))</f>
        <v/>
      </c>
      <c r="F40" s="14">
        <f>IF(F$28="", "", IF(F39&gt;0, (C$8 / $F$4) / F39, (C$8 / $F$4) / COUNTA($A$13:$A$22)))</f>
        <v/>
      </c>
      <c r="G40" s="14">
        <f>IF(G$28="", "", IF(G39&gt;0, (C$8 / $F$4) / G39, (C$8 / $F$4) / COUNTA($A$13:$A$22)))</f>
        <v/>
      </c>
      <c r="H40" s="14">
        <f>IF(H$28="", "", IF(H39&gt;0, (C$8 / $F$4) / H39, (C$8 / $F$4) / COUNTA($A$13:$A$22)))</f>
        <v/>
      </c>
      <c r="I40" s="14">
        <f>IF(I$28="", "", IF(I39&gt;0, (C$8 / $F$4) / I39, (C$8 / $F$4) / COUNTA($A$13:$A$22)))</f>
        <v/>
      </c>
      <c r="J40" s="14">
        <f>IF(J$28="", "", IF(J39&gt;0, (C$8 / $F$4) / J39, (C$8 / $F$4) / COUNTA($A$13:$A$22)))</f>
        <v/>
      </c>
      <c r="K40" s="14">
        <f>IF(K$28="", "", IF(K39&gt;0, (C$8 / $F$4) / K39, (C$8 / $F$4) / COUNTA($A$13:$A$22)))</f>
        <v/>
      </c>
      <c r="L40" s="14">
        <f>IF(L$28="", "", IF(L39&gt;0, (C$8 / $F$4) / L39, (C$8 / $F$4) / COUNTA($A$13:$A$22)))</f>
        <v/>
      </c>
      <c r="M40" s="14">
        <f>IF(M$28="", "", IF(M39&gt;0, (C$8 / $F$4) / M39, (C$8 / $F$4) / COUNTA($A$13:$A$22)))</f>
        <v/>
      </c>
      <c r="N40" s="14">
        <f>IF(N$28="", "", IF(N39&gt;0, (C$8 / $F$4) / N39, (C$8 / $F$4) / COUNTA($A$13:$A$22)))</f>
        <v/>
      </c>
      <c r="O40" s="14">
        <f>IF(O$28="", "", IF(O39&gt;0, (C$8 / $F$4) / O39, (C$8 / $F$4) / COUNTA($A$13:$A$22)))</f>
        <v/>
      </c>
      <c r="P40" s="14">
        <f>IF(P$28="", "", IF(P39&gt;0, (C$8 / $F$4) / P39, (C$8 / $F$4) / COUNTA($A$13:$A$22)))</f>
        <v/>
      </c>
      <c r="Q40" s="14">
        <f>IF(Q$28="", "", IF(Q39&gt;0, (C$8 / $F$4) / Q39, (C$8 / $F$4) / COUNTA($A$13:$A$22)))</f>
        <v/>
      </c>
      <c r="R40" s="14">
        <f>IF(R$28="", "", IF(R39&gt;0, (C$8 / $F$4) / R39, (C$8 / $F$4) / COUNTA($A$13:$A$22)))</f>
        <v/>
      </c>
      <c r="S40" s="14">
        <f>IF(S$28="", "", IF(S39&gt;0, (C$8 / $F$4) / S39, (C$8 / $F$4) / COUNTA($A$13:$A$22)))</f>
        <v/>
      </c>
      <c r="T40" s="14">
        <f>IF(T$28="", "", IF(T39&gt;0, (C$8 / $F$4) / T39, (C$8 / $F$4) / COUNTA($A$13:$A$22)))</f>
        <v/>
      </c>
      <c r="U40" s="14">
        <f>IF(U$28="", "", IF(U39&gt;0, (C$8 / $F$4) / U39, (C$8 / $F$4) / COUNTA($A$13:$A$22)))</f>
        <v/>
      </c>
      <c r="V40" s="14">
        <f>IF(V$28="", "", IF(V39&gt;0, (C$8 / $F$4) / V39, (C$8 / $F$4) / COUNTA($A$13:$A$22)))</f>
        <v/>
      </c>
      <c r="W40" s="14">
        <f>IF(W$28="", "", IF(W39&gt;0, (C$8 / $F$4) / W39, (C$8 / $F$4) / COUNTA($A$13:$A$22)))</f>
        <v/>
      </c>
      <c r="X40" s="14">
        <f>IF(X$28="", "", IF(X39&gt;0, (C$8 / $F$4) / X39, (C$8 / $F$4) / COUNTA($A$13:$A$22)))</f>
        <v/>
      </c>
      <c r="Y40" s="14">
        <f>IF(Y$28="", "", IF(Y39&gt;0, (C$8 / $F$4) / Y39, (C$8 / $F$4) / COUNTA($A$13:$A$22)))</f>
        <v/>
      </c>
      <c r="Z40" s="14">
        <f>IF(Z$28="", "", IF(Z39&gt;0, (C$8 / $F$4) / Z39, (C$8 / $F$4) / COUNTA($A$13:$A$22)))</f>
        <v/>
      </c>
      <c r="AA40" s="14">
        <f>IF(AA$28="", "", IF(AA39&gt;0, (C$8 / $F$4) / AA39, (C$8 / $F$4) / COUNTA($A$13:$A$22)))</f>
        <v/>
      </c>
      <c r="AB40" s="14">
        <f>IF(AB$28="", "", IF(AB39&gt;0, (C$8 / $F$4) / AB39, (C$8 / $F$4) / COUNTA($A$13:$A$22)))</f>
        <v/>
      </c>
      <c r="AC40" s="14">
        <f>IF(AC$28="", "", IF(AC39&gt;0, (C$8 / $F$4) / AC39, (C$8 / $F$4) / COUNTA($A$13:$A$22)))</f>
        <v/>
      </c>
      <c r="AD40" s="14">
        <f>IF(AD$28="", "", IF(AD39&gt;0, (C$8 / $F$4) / AD39, (C$8 / $F$4) / COUNTA($A$13:$A$22)))</f>
        <v/>
      </c>
      <c r="AE40" s="14">
        <f>IF(AE$28="", "", IF(AE39&gt;0, (C$8 / $F$4) / AE39, (C$8 / $F$4) / COUNTA($A$13:$A$22)))</f>
        <v/>
      </c>
      <c r="AF40" s="14">
        <f>IF(AF$28="", "", IF(AF39&gt;0, (C$8 / $F$4) / AF39, (C$8 / $F$4) / COUNTA($A$13:$A$22)))</f>
        <v/>
      </c>
      <c r="AG40" s="14">
        <f>IF(AG$28="", "", IF(AG39&gt;0, (C$8 / $F$4) / AG39, (C$8 / $F$4) / COUNTA($A$13:$A$22)))</f>
        <v/>
      </c>
    </row>
    <row r="42" ht="16" customHeight="1" s="29">
      <c r="A42" s="34" t="inlineStr">
        <is>
          <t>HOW TO USE THIS SHEET:</t>
        </is>
      </c>
    </row>
    <row r="43" ht="18" customHeight="1" s="29">
      <c r="A43" s="28" t="inlineStr">
        <is>
          <t>1. Enter Billing Start/End Dates in B4/D4. The billing days calculate automatically.</t>
        </is>
      </c>
    </row>
    <row r="44" ht="18" customHeight="1" s="29">
      <c r="A44" s="28" t="inlineStr">
        <is>
          <t>2. Rename any of the utility headers (C7:F7) as needed (e.g., replace 'Custom 1' with 'Netflix' or 'Gas').</t>
        </is>
      </c>
    </row>
    <row r="45" ht="18" customHeight="1" s="29">
      <c r="A45" s="28" t="inlineStr">
        <is>
          <t>3. Enter the total bill for each utility in the green boxes (C8:F8).</t>
        </is>
      </c>
    </row>
    <row r="46" ht="18" customHeight="1" s="29">
      <c r="A46" s="28" t="inlineStr">
        <is>
          <t>4. Choose split methods in green boxes (C9:F9) - choose 'By Days Present' for variable bills (like PUB), 'Split Equally' for flat bills, or 'Split (Top 3)' to split equally among the first 3 occupants only.</t>
        </is>
      </c>
    </row>
    <row r="47" ht="18" customHeight="1" s="29">
      <c r="A47" s="28" t="inlineStr">
        <is>
          <t>5. Enter occupant names in green boxes A13:A22. They will mirror automatically in the daily tracker.</t>
        </is>
      </c>
    </row>
    <row r="48" ht="18" customHeight="1" s="29">
      <c r="A48" s="28" t="inlineStr">
        <is>
          <t>6. In Section 3 (Daily Occupancy Tracker), enter '1' in the green day columns for each day an occupant is present. Leave blank or enter '0' if they are away.</t>
        </is>
      </c>
    </row>
    <row r="49" ht="18" customHeight="1" s="29">
      <c r="A49" s="28" t="inlineStr">
        <is>
          <t>7. Note: The Day columns in Section 3 link to dates in B4/D4. Changing dates will automatically gray out and disable inactive columns.</t>
        </is>
      </c>
    </row>
    <row r="50" ht="18" customHeight="1" s="29">
      <c r="A50" s="32" t="inlineStr">
        <is>
          <t>💡 Verification status displays '✔ Balanced' when individual shares match the total bill. If some people were away, PUB will show '❌ Unbalanced' to reflect the unallocated vacancy cost of empty days.</t>
        </is>
      </c>
    </row>
  </sheetData>
  <mergeCells count="14">
    <mergeCell ref="A44:G44"/>
    <mergeCell ref="A27:AG27"/>
    <mergeCell ref="A1:G1"/>
    <mergeCell ref="A6:G6"/>
    <mergeCell ref="A50:G50"/>
    <mergeCell ref="A48:G48"/>
    <mergeCell ref="A2:G2"/>
    <mergeCell ref="A42:G42"/>
    <mergeCell ref="A43:G43"/>
    <mergeCell ref="A11:G11"/>
    <mergeCell ref="A49:G49"/>
    <mergeCell ref="A47:G47"/>
    <mergeCell ref="A45:G45"/>
    <mergeCell ref="A46:G46"/>
  </mergeCells>
  <conditionalFormatting sqref="C28:AG40">
    <cfRule type="expression" priority="1" dxfId="0" stopIfTrue="1">
      <formula>C$28=""</formula>
    </cfRule>
  </conditionalFormatting>
  <dataValidations count="1">
    <dataValidation sqref="C9:F9" showDropDown="0" showInputMessage="0" showErrorMessage="0" allowBlank="0" errorTitle="Invalid Entry" error="Your entry is not in the list" promptTitle="Split Method" prompt="Please select a split method" type="list">
      <formula1>"By Days Present,Split Equally,Split (Top 3)"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0"/>
  <sheetViews>
    <sheetView workbookViewId="0">
      <selection activeCell="A1" sqref="A1"/>
    </sheetView>
  </sheetViews>
  <sheetFormatPr baseColWidth="10" defaultColWidth="8.83203125" defaultRowHeight="15"/>
  <cols>
    <col width="24" customWidth="1" style="29" min="1" max="1"/>
    <col width="16" customWidth="1" style="29" min="2" max="2"/>
    <col width="6" customWidth="1" style="29" min="3" max="33"/>
  </cols>
  <sheetData>
    <row r="1" ht="30" customHeight="1" s="29">
      <c r="A1" s="30" t="inlineStr">
        <is>
          <t>HOUSEHOLD UTILITY BILL CALCULATOR - NOVEMBER 2026</t>
        </is>
      </c>
    </row>
    <row r="2" ht="20" customHeight="1" s="29">
      <c r="A2" s="33" t="inlineStr">
        <is>
          <t>Distribute shared bills dynamically by days present or equal split. Edit the green shaded cells; formulas do the rest.</t>
        </is>
      </c>
    </row>
    <row r="4" ht="22" customHeight="1" s="29">
      <c r="A4" s="34" t="inlineStr">
        <is>
          <t>Billing Start Date:</t>
        </is>
      </c>
      <c r="B4" s="35" t="n">
        <v>46327</v>
      </c>
      <c r="C4" s="34" t="inlineStr">
        <is>
          <t>Billing End Date:</t>
        </is>
      </c>
      <c r="D4" s="35" t="n">
        <v>46356</v>
      </c>
      <c r="E4" s="34" t="inlineStr">
        <is>
          <t>Billing Period Days:</t>
        </is>
      </c>
      <c r="F4" s="3">
        <f>IF(AND($B$4&lt;&gt;"", $D$4&lt;&gt;""), IF(ISNUMBER($D$4), $D$4, DATEVALUE($D$4)) - IF(ISNUMBER($B$4), $B$4, DATEVALUE($B$4)) + 1, "")</f>
        <v/>
      </c>
    </row>
    <row r="6" ht="24" customHeight="1" s="29">
      <c r="A6" s="31" t="inlineStr">
        <is>
          <t>1. UTILITY CONFIGURATION</t>
        </is>
      </c>
    </row>
    <row r="7" ht="25" customHeight="1" s="29">
      <c r="A7" s="4" t="inlineStr">
        <is>
          <t>Utility Item</t>
        </is>
      </c>
      <c r="B7" s="5" t="inlineStr">
        <is>
          <t>Label Description</t>
        </is>
      </c>
      <c r="C7" s="6" t="inlineStr">
        <is>
          <t>PUB</t>
        </is>
      </c>
      <c r="D7" s="6" t="inlineStr">
        <is>
          <t>Internet</t>
        </is>
      </c>
      <c r="E7" s="6" t="inlineStr">
        <is>
          <t>Custom 1</t>
        </is>
      </c>
      <c r="F7" s="6" t="inlineStr">
        <is>
          <t>Custom 2</t>
        </is>
      </c>
      <c r="G7" s="7" t="inlineStr">
        <is>
          <t>TOTAL BILL</t>
        </is>
      </c>
    </row>
    <row r="8" ht="22" customHeight="1" s="29">
      <c r="A8" s="8" t="inlineStr">
        <is>
          <t>Total Bill Amount</t>
        </is>
      </c>
      <c r="B8" s="5" t="inlineStr">
        <is>
          <t>Enter costs -&gt;</t>
        </is>
      </c>
      <c r="C8" s="9" t="n">
        <v>150</v>
      </c>
      <c r="D8" s="9" t="n">
        <v>43.7</v>
      </c>
      <c r="E8" s="9" t="n">
        <v>0</v>
      </c>
      <c r="F8" s="9" t="n">
        <v>0</v>
      </c>
      <c r="G8" s="10">
        <f>SUM(C8:F8)</f>
        <v/>
      </c>
    </row>
    <row r="9" ht="22" customHeight="1" s="29">
      <c r="A9" s="8" t="inlineStr">
        <is>
          <t>Split Method</t>
        </is>
      </c>
      <c r="B9" s="5" t="inlineStr">
        <is>
          <t>Choose method -&gt;</t>
        </is>
      </c>
      <c r="C9" s="2" t="inlineStr">
        <is>
          <t>By Days Present</t>
        </is>
      </c>
      <c r="D9" s="2" t="inlineStr">
        <is>
          <t>Split (Top 3)</t>
        </is>
      </c>
      <c r="E9" s="2" t="inlineStr">
        <is>
          <t>Split Equally</t>
        </is>
      </c>
      <c r="F9" s="2" t="inlineStr">
        <is>
          <t>Split Equally</t>
        </is>
      </c>
      <c r="G9" s="11" t="n"/>
    </row>
    <row r="11" ht="24" customHeight="1" s="29">
      <c r="A11" s="31" t="inlineStr">
        <is>
          <t>2. OCCUPANT DETAIL &amp; BILL DIVISION</t>
        </is>
      </c>
    </row>
    <row r="12" ht="25" customHeight="1" s="29">
      <c r="A12" s="4" t="inlineStr">
        <is>
          <t>Occupant Name</t>
        </is>
      </c>
      <c r="B12" s="6" t="inlineStr">
        <is>
          <t>Days Present</t>
        </is>
      </c>
      <c r="C12" s="6" t="inlineStr">
        <is>
          <t>PUB Share</t>
        </is>
      </c>
      <c r="D12" s="6" t="inlineStr">
        <is>
          <t>Internet Share</t>
        </is>
      </c>
      <c r="E12" s="6" t="inlineStr">
        <is>
          <t>Custom 1</t>
        </is>
      </c>
      <c r="F12" s="6" t="inlineStr">
        <is>
          <t>Custom 2</t>
        </is>
      </c>
      <c r="G12" s="7" t="inlineStr">
        <is>
          <t>Total Owed</t>
        </is>
      </c>
    </row>
    <row r="13" ht="20" customHeight="1" s="29">
      <c r="A13" s="12" t="inlineStr">
        <is>
          <t>Alex</t>
        </is>
      </c>
      <c r="B13" s="13">
        <f>B29</f>
        <v/>
      </c>
      <c r="C13" s="14">
        <f>IF(ISBLANK($A13), "", IFERROR(IF(C$9="By Days Present", SUMPRODUCT((C$39:AG$39=0) + C29:AG29*(C$39:AG$39&gt;0), C$40:AG$40), IF(C$9="Split Equally", C$8 / COUNTA($A$13:$A$22), IF(C$9="Split (Top 3)", IF(ROW()&lt;=15, C$8 / 3, 0), 0))), 0))</f>
        <v/>
      </c>
      <c r="D13" s="14">
        <f>IF(ISBLANK($A13), "", IFERROR(IF(D$9="By Days Present", SUMPRODUCT(((C$39:AG$39=0)/COUNTA($A$13:$A$22) + (C29:AG29/(C$39:AG$39 + (C$39:AG$39=0)))*(C$39:AG$39&gt;0)), (C$28:AG$28&lt;&gt;"") * (D$8 / $F$4)), IF(D$9="Split Equally", D$8 / COUNTA($A$13:$A$22), IF(D$9="Split (Top 3)", IF(ROW()&lt;=15, D$8 / 3, 0), 0))), 0))</f>
        <v/>
      </c>
      <c r="E13" s="14">
        <f>IF(ISBLANK($A13), "", IFERROR(IF(E$9="By Days Present", SUMPRODUCT(((C$39:AG$39=0)/COUNTA($A$13:$A$22) + (C29:AG29/(C$39:AG$39 + (C$39:AG$39=0)))*(C$39:AG$39&gt;0)), (C$28:AG$28&lt;&gt;"") * (E$8 / $F$4)), IF(E$9="Split Equally", E$8 / COUNTA($A$13:$A$22), IF(E$9="Split (Top 3)", IF(ROW()&lt;=15, E$8 / 3, 0), 0))), 0))</f>
        <v/>
      </c>
      <c r="F13" s="14">
        <f>IF(ISBLANK($A13), "", IFERROR(IF(F$9="By Days Present", SUMPRODUCT(((C$39:AG$39=0)/COUNTA($A$13:$A$22) + (C29:AG29/(C$39:AG$39 + (C$39:AG$39=0)))*(C$39:AG$39&gt;0)), (C$28:AG$28&lt;&gt;"") * (F$8 / $F$4)), IF(F$9="Split Equally", F$8 / COUNTA($A$13:$A$22), IF(F$9="Split (Top 3)", IF(ROW()&lt;=15, F$8 / 3, 0), 0))), 0))</f>
        <v/>
      </c>
      <c r="G13" s="10">
        <f>IF(ISBLANK($A13), "", SUM(C13:F13))</f>
        <v/>
      </c>
    </row>
    <row r="14" ht="20" customHeight="1" s="29">
      <c r="A14" s="12" t="inlineStr">
        <is>
          <t>Jordan</t>
        </is>
      </c>
      <c r="B14" s="13">
        <f>B30</f>
        <v/>
      </c>
      <c r="C14" s="15">
        <f>IF(ISBLANK($A14), "", IFERROR(IF(C$9="By Days Present", SUMPRODUCT((C$39:AG$39=0) + C30:AG30*(C$39:AG$39&gt;0), C$40:AG$40), IF(C$9="Split Equally", C$8 / COUNTA($A$13:$A$22), IF(C$9="Split (Top 3)", IF(ROW()&lt;=15, C$8 / 3, 0), 0))), 0))</f>
        <v/>
      </c>
      <c r="D14" s="15">
        <f>IF(ISBLANK($A14), "", IFERROR(IF(D$9="By Days Present", SUMPRODUCT(((C$39:AG$39=0)/COUNTA($A$13:$A$22) + (C30:AG30/(C$39:AG$39 + (C$39:AG$39=0)))*(C$39:AG$39&gt;0)), (C$28:AG$28&lt;&gt;"") * (D$8 / $F$4)), IF(D$9="Split Equally", D$8 / COUNTA($A$13:$A$22), IF(D$9="Split (Top 3)", IF(ROW()&lt;=15, D$8 / 3, 0), 0))), 0))</f>
        <v/>
      </c>
      <c r="E14" s="15">
        <f>IF(ISBLANK($A14), "", IFERROR(IF(E$9="By Days Present", SUMPRODUCT(((C$39:AG$39=0)/COUNTA($A$13:$A$22) + (C30:AG30/(C$39:AG$39 + (C$39:AG$39=0)))*(C$39:AG$39&gt;0)), (C$28:AG$28&lt;&gt;"") * (E$8 / $F$4)), IF(E$9="Split Equally", E$8 / COUNTA($A$13:$A$22), IF(E$9="Split (Top 3)", IF(ROW()&lt;=15, E$8 / 3, 0), 0))), 0))</f>
        <v/>
      </c>
      <c r="F14" s="15">
        <f>IF(ISBLANK($A14), "", IFERROR(IF(F$9="By Days Present", SUMPRODUCT(((C$39:AG$39=0)/COUNTA($A$13:$A$22) + (C30:AG30/(C$39:AG$39 + (C$39:AG$39=0)))*(C$39:AG$39&gt;0)), (C$28:AG$28&lt;&gt;"") * (F$8 / $F$4)), IF(F$9="Split Equally", F$8 / COUNTA($A$13:$A$22), IF(F$9="Split (Top 3)", IF(ROW()&lt;=15, F$8 / 3, 0), 0))), 0))</f>
        <v/>
      </c>
      <c r="G14" s="10">
        <f>IF(ISBLANK($A14), "", SUM(C14:F14))</f>
        <v/>
      </c>
    </row>
    <row r="15" ht="20" customHeight="1" s="29">
      <c r="A15" s="12" t="inlineStr">
        <is>
          <t>Morgan</t>
        </is>
      </c>
      <c r="B15" s="13">
        <f>B31</f>
        <v/>
      </c>
      <c r="C15" s="14">
        <f>IF(ISBLANK($A15), "", IFERROR(IF(C$9="By Days Present", SUMPRODUCT((C$39:AG$39=0) + C31:AG31*(C$39:AG$39&gt;0), C$40:AG$40), IF(C$9="Split Equally", C$8 / COUNTA($A$13:$A$22), IF(C$9="Split (Top 3)", IF(ROW()&lt;=15, C$8 / 3, 0), 0))), 0))</f>
        <v/>
      </c>
      <c r="D15" s="14">
        <f>IF(ISBLANK($A15), "", IFERROR(IF(D$9="By Days Present", SUMPRODUCT(((C$39:AG$39=0)/COUNTA($A$13:$A$22) + (C31:AG31/(C$39:AG$39 + (C$39:AG$39=0)))*(C$39:AG$39&gt;0)), (C$28:AG$28&lt;&gt;"") * (D$8 / $F$4)), IF(D$9="Split Equally", D$8 / COUNTA($A$13:$A$22), IF(D$9="Split (Top 3)", IF(ROW()&lt;=15, D$8 / 3, 0), 0))), 0))</f>
        <v/>
      </c>
      <c r="E15" s="14">
        <f>IF(ISBLANK($A15), "", IFERROR(IF(E$9="By Days Present", SUMPRODUCT(((C$39:AG$39=0)/COUNTA($A$13:$A$22) + (C31:AG31/(C$39:AG$39 + (C$39:AG$39=0)))*(C$39:AG$39&gt;0)), (C$28:AG$28&lt;&gt;"") * (E$8 / $F$4)), IF(E$9="Split Equally", E$8 / COUNTA($A$13:$A$22), IF(E$9="Split (Top 3)", IF(ROW()&lt;=15, E$8 / 3, 0), 0))), 0))</f>
        <v/>
      </c>
      <c r="F15" s="14">
        <f>IF(ISBLANK($A15), "", IFERROR(IF(F$9="By Days Present", SUMPRODUCT(((C$39:AG$39=0)/COUNTA($A$13:$A$22) + (C31:AG31/(C$39:AG$39 + (C$39:AG$39=0)))*(C$39:AG$39&gt;0)), (C$28:AG$28&lt;&gt;"") * (F$8 / $F$4)), IF(F$9="Split Equally", F$8 / COUNTA($A$13:$A$22), IF(F$9="Split (Top 3)", IF(ROW()&lt;=15, F$8 / 3, 0), 0))), 0))</f>
        <v/>
      </c>
      <c r="G15" s="10">
        <f>IF(ISBLANK($A15), "", SUM(C15:F15))</f>
        <v/>
      </c>
    </row>
    <row r="16" ht="20" customHeight="1" s="29">
      <c r="A16" s="12" t="inlineStr">
        <is>
          <t>Taylor</t>
        </is>
      </c>
      <c r="B16" s="13">
        <f>B32</f>
        <v/>
      </c>
      <c r="C16" s="15">
        <f>IF(ISBLANK($A16), "", IFERROR(IF(C$9="By Days Present", SUMPRODUCT((C$39:AG$39=0) + C32:AG32*(C$39:AG$39&gt;0), C$40:AG$40), IF(C$9="Split Equally", C$8 / COUNTA($A$13:$A$22), IF(C$9="Split (Top 3)", IF(ROW()&lt;=15, C$8 / 3, 0), 0))), 0))</f>
        <v/>
      </c>
      <c r="D16" s="15">
        <f>IF(ISBLANK($A16), "", IFERROR(IF(D$9="By Days Present", SUMPRODUCT(((C$39:AG$39=0)/COUNTA($A$13:$A$22) + (C32:AG32/(C$39:AG$39 + (C$39:AG$39=0)))*(C$39:AG$39&gt;0)), (C$28:AG$28&lt;&gt;"") * (D$8 / $F$4)), IF(D$9="Split Equally", D$8 / COUNTA($A$13:$A$22), IF(D$9="Split (Top 3)", IF(ROW()&lt;=15, D$8 / 3, 0), 0))), 0))</f>
        <v/>
      </c>
      <c r="E16" s="15">
        <f>IF(ISBLANK($A16), "", IFERROR(IF(E$9="By Days Present", SUMPRODUCT(((C$39:AG$39=0)/COUNTA($A$13:$A$22) + (C32:AG32/(C$39:AG$39 + (C$39:AG$39=0)))*(C$39:AG$39&gt;0)), (C$28:AG$28&lt;&gt;"") * (E$8 / $F$4)), IF(E$9="Split Equally", E$8 / COUNTA($A$13:$A$22), IF(E$9="Split (Top 3)", IF(ROW()&lt;=15, E$8 / 3, 0), 0))), 0))</f>
        <v/>
      </c>
      <c r="F16" s="15">
        <f>IF(ISBLANK($A16), "", IFERROR(IF(F$9="By Days Present", SUMPRODUCT(((C$39:AG$39=0)/COUNTA($A$13:$A$22) + (C32:AG32/(C$39:AG$39 + (C$39:AG$39=0)))*(C$39:AG$39&gt;0)), (C$28:AG$28&lt;&gt;"") * (F$8 / $F$4)), IF(F$9="Split Equally", F$8 / COUNTA($A$13:$A$22), IF(F$9="Split (Top 3)", IF(ROW()&lt;=15, F$8 / 3, 0), 0))), 0))</f>
        <v/>
      </c>
      <c r="G16" s="10">
        <f>IF(ISBLANK($A16), "", SUM(C16:F16))</f>
        <v/>
      </c>
    </row>
    <row r="17" ht="20" customHeight="1" s="29">
      <c r="A17" s="12" t="n"/>
      <c r="B17" s="13">
        <f>B33</f>
        <v/>
      </c>
      <c r="C17" s="14">
        <f>IF(ISBLANK($A17), "", IFERROR(IF(C$9="By Days Present", SUMPRODUCT((C$39:AG$39=0) + C33:AG33*(C$39:AG$39&gt;0), C$40:AG$40), IF(C$9="Split Equally", C$8 / COUNTA($A$13:$A$22), IF(C$9="Split (Top 3)", IF(ROW()&lt;=15, C$8 / 3, 0), 0))), 0))</f>
        <v/>
      </c>
      <c r="D17" s="14">
        <f>IF(ISBLANK($A17), "", IFERROR(IF(D$9="By Days Present", SUMPRODUCT(((C$39:AG$39=0)/COUNTA($A$13:$A$22) + (C33:AG33/(C$39:AG$39 + (C$39:AG$39=0)))*(C$39:AG$39&gt;0)), (C$28:AG$28&lt;&gt;"") * (D$8 / $F$4)), IF(D$9="Split Equally", D$8 / COUNTA($A$13:$A$22), IF(D$9="Split (Top 3)", IF(ROW()&lt;=15, D$8 / 3, 0), 0))), 0))</f>
        <v/>
      </c>
      <c r="E17" s="14">
        <f>IF(ISBLANK($A17), "", IFERROR(IF(E$9="By Days Present", SUMPRODUCT(((C$39:AG$39=0)/COUNTA($A$13:$A$22) + (C33:AG33/(C$39:AG$39 + (C$39:AG$39=0)))*(C$39:AG$39&gt;0)), (C$28:AG$28&lt;&gt;"") * (E$8 / $F$4)), IF(E$9="Split Equally", E$8 / COUNTA($A$13:$A$22), IF(E$9="Split (Top 3)", IF(ROW()&lt;=15, E$8 / 3, 0), 0))), 0))</f>
        <v/>
      </c>
      <c r="F17" s="14">
        <f>IF(ISBLANK($A17), "", IFERROR(IF(F$9="By Days Present", SUMPRODUCT(((C$39:AG$39=0)/COUNTA($A$13:$A$22) + (C33:AG33/(C$39:AG$39 + (C$39:AG$39=0)))*(C$39:AG$39&gt;0)), (C$28:AG$28&lt;&gt;"") * (F$8 / $F$4)), IF(F$9="Split Equally", F$8 / COUNTA($A$13:$A$22), IF(F$9="Split (Top 3)", IF(ROW()&lt;=15, F$8 / 3, 0), 0))), 0))</f>
        <v/>
      </c>
      <c r="G17" s="10">
        <f>IF(ISBLANK($A17), "", SUM(C17:F17))</f>
        <v/>
      </c>
    </row>
    <row r="18" ht="20" customHeight="1" s="29">
      <c r="A18" s="12" t="n"/>
      <c r="B18" s="13">
        <f>B34</f>
        <v/>
      </c>
      <c r="C18" s="15">
        <f>IF(ISBLANK($A18), "", IFERROR(IF(C$9="By Days Present", SUMPRODUCT((C$39:AG$39=0) + C34:AG34*(C$39:AG$39&gt;0), C$40:AG$40), IF(C$9="Split Equally", C$8 / COUNTA($A$13:$A$22), IF(C$9="Split (Top 3)", IF(ROW()&lt;=15, C$8 / 3, 0), 0))), 0))</f>
        <v/>
      </c>
      <c r="D18" s="15">
        <f>IF(ISBLANK($A18), "", IFERROR(IF(D$9="By Days Present", SUMPRODUCT(((C$39:AG$39=0)/COUNTA($A$13:$A$22) + (C34:AG34/(C$39:AG$39 + (C$39:AG$39=0)))*(C$39:AG$39&gt;0)), (C$28:AG$28&lt;&gt;"") * (D$8 / $F$4)), IF(D$9="Split Equally", D$8 / COUNTA($A$13:$A$22), IF(D$9="Split (Top 3)", IF(ROW()&lt;=15, D$8 / 3, 0), 0))), 0))</f>
        <v/>
      </c>
      <c r="E18" s="15">
        <f>IF(ISBLANK($A18), "", IFERROR(IF(E$9="By Days Present", SUMPRODUCT(((C$39:AG$39=0)/COUNTA($A$13:$A$22) + (C34:AG34/(C$39:AG$39 + (C$39:AG$39=0)))*(C$39:AG$39&gt;0)), (C$28:AG$28&lt;&gt;"") * (E$8 / $F$4)), IF(E$9="Split Equally", E$8 / COUNTA($A$13:$A$22), IF(E$9="Split (Top 3)", IF(ROW()&lt;=15, E$8 / 3, 0), 0))), 0))</f>
        <v/>
      </c>
      <c r="F18" s="15">
        <f>IF(ISBLANK($A18), "", IFERROR(IF(F$9="By Days Present", SUMPRODUCT(((C$39:AG$39=0)/COUNTA($A$13:$A$22) + (C34:AG34/(C$39:AG$39 + (C$39:AG$39=0)))*(C$39:AG$39&gt;0)), (C$28:AG$28&lt;&gt;"") * (F$8 / $F$4)), IF(F$9="Split Equally", F$8 / COUNTA($A$13:$A$22), IF(F$9="Split (Top 3)", IF(ROW()&lt;=15, F$8 / 3, 0), 0))), 0))</f>
        <v/>
      </c>
      <c r="G18" s="10">
        <f>IF(ISBLANK($A18), "", SUM(C18:F18))</f>
        <v/>
      </c>
    </row>
    <row r="19" ht="20" customHeight="1" s="29">
      <c r="A19" s="12" t="n"/>
      <c r="B19" s="13">
        <f>B35</f>
        <v/>
      </c>
      <c r="C19" s="14">
        <f>IF(ISBLANK($A19), "", IFERROR(IF(C$9="By Days Present", SUMPRODUCT((C$39:AG$39=0) + C35:AG35*(C$39:AG$39&gt;0), C$40:AG$40), IF(C$9="Split Equally", C$8 / COUNTA($A$13:$A$22), IF(C$9="Split (Top 3)", IF(ROW()&lt;=15, C$8 / 3, 0), 0))), 0))</f>
        <v/>
      </c>
      <c r="D19" s="14">
        <f>IF(ISBLANK($A19), "", IFERROR(IF(D$9="By Days Present", SUMPRODUCT(((C$39:AG$39=0)/COUNTA($A$13:$A$22) + (C35:AG35/(C$39:AG$39 + (C$39:AG$39=0)))*(C$39:AG$39&gt;0)), (C$28:AG$28&lt;&gt;"") * (D$8 / $F$4)), IF(D$9="Split Equally", D$8 / COUNTA($A$13:$A$22), IF(D$9="Split (Top 3)", IF(ROW()&lt;=15, D$8 / 3, 0), 0))), 0))</f>
        <v/>
      </c>
      <c r="E19" s="14">
        <f>IF(ISBLANK($A19), "", IFERROR(IF(E$9="By Days Present", SUMPRODUCT(((C$39:AG$39=0)/COUNTA($A$13:$A$22) + (C35:AG35/(C$39:AG$39 + (C$39:AG$39=0)))*(C$39:AG$39&gt;0)), (C$28:AG$28&lt;&gt;"") * (E$8 / $F$4)), IF(E$9="Split Equally", E$8 / COUNTA($A$13:$A$22), IF(E$9="Split (Top 3)", IF(ROW()&lt;=15, E$8 / 3, 0), 0))), 0))</f>
        <v/>
      </c>
      <c r="F19" s="14">
        <f>IF(ISBLANK($A19), "", IFERROR(IF(F$9="By Days Present", SUMPRODUCT(((C$39:AG$39=0)/COUNTA($A$13:$A$22) + (C35:AG35/(C$39:AG$39 + (C$39:AG$39=0)))*(C$39:AG$39&gt;0)), (C$28:AG$28&lt;&gt;"") * (F$8 / $F$4)), IF(F$9="Split Equally", F$8 / COUNTA($A$13:$A$22), IF(F$9="Split (Top 3)", IF(ROW()&lt;=15, F$8 / 3, 0), 0))), 0))</f>
        <v/>
      </c>
      <c r="G19" s="10">
        <f>IF(ISBLANK($A19), "", SUM(C19:F19))</f>
        <v/>
      </c>
    </row>
    <row r="20" ht="20" customHeight="1" s="29">
      <c r="A20" s="12" t="n"/>
      <c r="B20" s="13">
        <f>B36</f>
        <v/>
      </c>
      <c r="C20" s="15">
        <f>IF(ISBLANK($A20), "", IFERROR(IF(C$9="By Days Present", SUMPRODUCT((C$39:AG$39=0) + C36:AG36*(C$39:AG$39&gt;0), C$40:AG$40), IF(C$9="Split Equally", C$8 / COUNTA($A$13:$A$22), IF(C$9="Split (Top 3)", IF(ROW()&lt;=15, C$8 / 3, 0), 0))), 0))</f>
        <v/>
      </c>
      <c r="D20" s="15">
        <f>IF(ISBLANK($A20), "", IFERROR(IF(D$9="By Days Present", SUMPRODUCT(((C$39:AG$39=0)/COUNTA($A$13:$A$22) + (C36:AG36/(C$39:AG$39 + (C$39:AG$39=0)))*(C$39:AG$39&gt;0)), (C$28:AG$28&lt;&gt;"") * (D$8 / $F$4)), IF(D$9="Split Equally", D$8 / COUNTA($A$13:$A$22), IF(D$9="Split (Top 3)", IF(ROW()&lt;=15, D$8 / 3, 0), 0))), 0))</f>
        <v/>
      </c>
      <c r="E20" s="15">
        <f>IF(ISBLANK($A20), "", IFERROR(IF(E$9="By Days Present", SUMPRODUCT(((C$39:AG$39=0)/COUNTA($A$13:$A$22) + (C36:AG36/(C$39:AG$39 + (C$39:AG$39=0)))*(C$39:AG$39&gt;0)), (C$28:AG$28&lt;&gt;"") * (E$8 / $F$4)), IF(E$9="Split Equally", E$8 / COUNTA($A$13:$A$22), IF(E$9="Split (Top 3)", IF(ROW()&lt;=15, E$8 / 3, 0), 0))), 0))</f>
        <v/>
      </c>
      <c r="F20" s="15">
        <f>IF(ISBLANK($A20), "", IFERROR(IF(F$9="By Days Present", SUMPRODUCT(((C$39:AG$39=0)/COUNTA($A$13:$A$22) + (C36:AG36/(C$39:AG$39 + (C$39:AG$39=0)))*(C$39:AG$39&gt;0)), (C$28:AG$28&lt;&gt;"") * (F$8 / $F$4)), IF(F$9="Split Equally", F$8 / COUNTA($A$13:$A$22), IF(F$9="Split (Top 3)", IF(ROW()&lt;=15, F$8 / 3, 0), 0))), 0))</f>
        <v/>
      </c>
      <c r="G20" s="10">
        <f>IF(ISBLANK($A20), "", SUM(C20:F20))</f>
        <v/>
      </c>
    </row>
    <row r="21" ht="20" customHeight="1" s="29">
      <c r="A21" s="12" t="n"/>
      <c r="B21" s="13">
        <f>B37</f>
        <v/>
      </c>
      <c r="C21" s="14">
        <f>IF(ISBLANK($A21), "", IFERROR(IF(C$9="By Days Present", SUMPRODUCT((C$39:AG$39=0) + C37:AG37*(C$39:AG$39&gt;0), C$40:AG$40), IF(C$9="Split Equally", C$8 / COUNTA($A$13:$A$22), IF(C$9="Split (Top 3)", IF(ROW()&lt;=15, C$8 / 3, 0), 0))), 0))</f>
        <v/>
      </c>
      <c r="D21" s="14">
        <f>IF(ISBLANK($A21), "", IFERROR(IF(D$9="By Days Present", SUMPRODUCT(((C$39:AG$39=0)/COUNTA($A$13:$A$22) + (C37:AG37/(C$39:AG$39 + (C$39:AG$39=0)))*(C$39:AG$39&gt;0)), (C$28:AG$28&lt;&gt;"") * (D$8 / $F$4)), IF(D$9="Split Equally", D$8 / COUNTA($A$13:$A$22), IF(D$9="Split (Top 3)", IF(ROW()&lt;=15, D$8 / 3, 0), 0))), 0))</f>
        <v/>
      </c>
      <c r="E21" s="14">
        <f>IF(ISBLANK($A21), "", IFERROR(IF(E$9="By Days Present", SUMPRODUCT(((C$39:AG$39=0)/COUNTA($A$13:$A$22) + (C37:AG37/(C$39:AG$39 + (C$39:AG$39=0)))*(C$39:AG$39&gt;0)), (C$28:AG$28&lt;&gt;"") * (E$8 / $F$4)), IF(E$9="Split Equally", E$8 / COUNTA($A$13:$A$22), IF(E$9="Split (Top 3)", IF(ROW()&lt;=15, E$8 / 3, 0), 0))), 0))</f>
        <v/>
      </c>
      <c r="F21" s="14">
        <f>IF(ISBLANK($A21), "", IFERROR(IF(F$9="By Days Present", SUMPRODUCT(((C$39:AG$39=0)/COUNTA($A$13:$A$22) + (C37:AG37/(C$39:AG$39 + (C$39:AG$39=0)))*(C$39:AG$39&gt;0)), (C$28:AG$28&lt;&gt;"") * (F$8 / $F$4)), IF(F$9="Split Equally", F$8 / COUNTA($A$13:$A$22), IF(F$9="Split (Top 3)", IF(ROW()&lt;=15, F$8 / 3, 0), 0))), 0))</f>
        <v/>
      </c>
      <c r="G21" s="10">
        <f>IF(ISBLANK($A21), "", SUM(C21:F21))</f>
        <v/>
      </c>
    </row>
    <row r="22" ht="20" customHeight="1" s="29">
      <c r="A22" s="12" t="n"/>
      <c r="B22" s="13">
        <f>B38</f>
        <v/>
      </c>
      <c r="C22" s="15">
        <f>IF(ISBLANK($A22), "", IFERROR(IF(C$9="By Days Present", SUMPRODUCT((C$39:AG$39=0) + C38:AG38*(C$39:AG$39&gt;0), C$40:AG$40), IF(C$9="Split Equally", C$8 / COUNTA($A$13:$A$22), IF(C$9="Split (Top 3)", IF(ROW()&lt;=15, C$8 / 3, 0), 0))), 0))</f>
        <v/>
      </c>
      <c r="D22" s="15">
        <f>IF(ISBLANK($A22), "", IFERROR(IF(D$9="By Days Present", SUMPRODUCT(((C$39:AG$39=0)/COUNTA($A$13:$A$22) + (C38:AG38/(C$39:AG$39 + (C$39:AG$39=0)))*(C$39:AG$39&gt;0)), (C$28:AG$28&lt;&gt;"") * (D$8 / $F$4)), IF(D$9="Split Equally", D$8 / COUNTA($A$13:$A$22), IF(D$9="Split (Top 3)", IF(ROW()&lt;=15, D$8 / 3, 0), 0))), 0))</f>
        <v/>
      </c>
      <c r="E22" s="15">
        <f>IF(ISBLANK($A22), "", IFERROR(IF(E$9="By Days Present", SUMPRODUCT(((C$39:AG$39=0)/COUNTA($A$13:$A$22) + (C38:AG38/(C$39:AG$39 + (C$39:AG$39=0)))*(C$39:AG$39&gt;0)), (C$28:AG$28&lt;&gt;"") * (E$8 / $F$4)), IF(E$9="Split Equally", E$8 / COUNTA($A$13:$A$22), IF(E$9="Split (Top 3)", IF(ROW()&lt;=15, E$8 / 3, 0), 0))), 0))</f>
        <v/>
      </c>
      <c r="F22" s="15">
        <f>IF(ISBLANK($A22), "", IFERROR(IF(F$9="By Days Present", SUMPRODUCT(((C$39:AG$39=0)/COUNTA($A$13:$A$22) + (C38:AG38/(C$39:AG$39 + (C$39:AG$39=0)))*(C$39:AG$39&gt;0)), (C$28:AG$28&lt;&gt;"") * (F$8 / $F$4)), IF(F$9="Split Equally", F$8 / COUNTA($A$13:$A$22), IF(F$9="Split (Top 3)", IF(ROW()&lt;=15, F$8 / 3, 0), 0))), 0))</f>
        <v/>
      </c>
      <c r="G22" s="10">
        <f>IF(ISBLANK($A22), "", SUM(C22:F22))</f>
        <v/>
      </c>
    </row>
    <row r="23" ht="22" customHeight="1" s="29">
      <c r="A23" s="16" t="inlineStr">
        <is>
          <t>Total Allocated Share</t>
        </is>
      </c>
      <c r="B23" s="17">
        <f>SUM(B13:B22)</f>
        <v/>
      </c>
      <c r="C23" s="18">
        <f>SUM(C13:C22)</f>
        <v/>
      </c>
      <c r="D23" s="18">
        <f>SUM(D13:D22)</f>
        <v/>
      </c>
      <c r="E23" s="18">
        <f>SUM(E13:E22)</f>
        <v/>
      </c>
      <c r="F23" s="18">
        <f>SUM(F13:F22)</f>
        <v/>
      </c>
      <c r="G23" s="18">
        <f>SUM(G13:G22)</f>
        <v/>
      </c>
    </row>
    <row r="24" ht="22" customHeight="1" s="29">
      <c r="A24" s="8" t="inlineStr">
        <is>
          <t>Actual Total Bill Amount</t>
        </is>
      </c>
      <c r="B24" s="11" t="n"/>
      <c r="C24" s="14">
        <f>C8</f>
        <v/>
      </c>
      <c r="D24" s="14">
        <f>D8</f>
        <v/>
      </c>
      <c r="E24" s="14">
        <f>E8</f>
        <v/>
      </c>
      <c r="F24" s="14">
        <f>F8</f>
        <v/>
      </c>
      <c r="G24" s="19">
        <f>G8</f>
        <v/>
      </c>
    </row>
    <row r="25" ht="22" customHeight="1" s="29">
      <c r="A25" s="8" t="inlineStr">
        <is>
          <t>Reconciliation Status</t>
        </is>
      </c>
      <c r="B25" s="11" t="n"/>
      <c r="C25" s="20">
        <f>IF(ABS(C23-C24)&lt;0.01, "✔ Balanced", "❌ Unbalanced")</f>
        <v/>
      </c>
      <c r="D25" s="20">
        <f>IF(ABS(D23-D24)&lt;0.01, "✔ Balanced", "❌ Unbalanced")</f>
        <v/>
      </c>
      <c r="E25" s="20">
        <f>IF(ABS(E23-E24)&lt;0.01, "✔ Balanced", "❌ Unbalanced")</f>
        <v/>
      </c>
      <c r="F25" s="20">
        <f>IF(ABS(F23-F24)&lt;0.01, "✔ Balanced", "❌ Unbalanced")</f>
        <v/>
      </c>
      <c r="G25" s="20">
        <f>IF(ABS(G23-G24)&lt;0.01, "✔ Balanced", "❌ Unbalanced")</f>
        <v/>
      </c>
    </row>
    <row r="27" ht="24" customHeight="1" s="29">
      <c r="A27" s="31" t="inlineStr">
        <is>
          <t>3. DAILY OCCUPANCY TRACKER (Simply enter '1' for each day an occupant is present; leave blank or enter '0' if absent)</t>
        </is>
      </c>
    </row>
    <row r="28" ht="25" customHeight="1" s="29">
      <c r="A28" s="4" t="inlineStr">
        <is>
          <t>Occupant Name</t>
        </is>
      </c>
      <c r="B28" s="6" t="inlineStr">
        <is>
          <t>Total Days</t>
        </is>
      </c>
      <c r="C28" s="21">
        <f>IF(OR($B$4="", ISBLANK($B$4)), "", IF(ISNUMBER($B$4), $B$4, DATEVALUE($B$4)))</f>
        <v/>
      </c>
      <c r="D28" s="21">
        <f>IF(C28="", "", IF(C28+1 &lt;= IF(ISNUMBER($D$4), $D$4, DATEVALUE($D$4)), C28+1, ""))</f>
        <v/>
      </c>
      <c r="E28" s="21">
        <f>IF(D28="", "", IF(D28+1 &lt;= IF(ISNUMBER($D$4), $D$4, DATEVALUE($D$4)), D28+1, ""))</f>
        <v/>
      </c>
      <c r="F28" s="21">
        <f>IF(E28="", "", IF(E28+1 &lt;= IF(ISNUMBER($D$4), $D$4, DATEVALUE($D$4)), E28+1, ""))</f>
        <v/>
      </c>
      <c r="G28" s="21">
        <f>IF(F28="", "", IF(F28+1 &lt;= IF(ISNUMBER($D$4), $D$4, DATEVALUE($D$4)), F28+1, ""))</f>
        <v/>
      </c>
      <c r="H28" s="21">
        <f>IF(G28="", "", IF(G28+1 &lt;= IF(ISNUMBER($D$4), $D$4, DATEVALUE($D$4)), G28+1, ""))</f>
        <v/>
      </c>
      <c r="I28" s="21">
        <f>IF(H28="", "", IF(H28+1 &lt;= IF(ISNUMBER($D$4), $D$4, DATEVALUE($D$4)), H28+1, ""))</f>
        <v/>
      </c>
      <c r="J28" s="21">
        <f>IF(I28="", "", IF(I28+1 &lt;= IF(ISNUMBER($D$4), $D$4, DATEVALUE($D$4)), I28+1, ""))</f>
        <v/>
      </c>
      <c r="K28" s="21">
        <f>IF(J28="", "", IF(J28+1 &lt;= IF(ISNUMBER($D$4), $D$4, DATEVALUE($D$4)), J28+1, ""))</f>
        <v/>
      </c>
      <c r="L28" s="21">
        <f>IF(K28="", "", IF(K28+1 &lt;= IF(ISNUMBER($D$4), $D$4, DATEVALUE($D$4)), K28+1, ""))</f>
        <v/>
      </c>
      <c r="M28" s="21">
        <f>IF(L28="", "", IF(L28+1 &lt;= IF(ISNUMBER($D$4), $D$4, DATEVALUE($D$4)), L28+1, ""))</f>
        <v/>
      </c>
      <c r="N28" s="21">
        <f>IF(M28="", "", IF(M28+1 &lt;= IF(ISNUMBER($D$4), $D$4, DATEVALUE($D$4)), M28+1, ""))</f>
        <v/>
      </c>
      <c r="O28" s="21">
        <f>IF(N28="", "", IF(N28+1 &lt;= IF(ISNUMBER($D$4), $D$4, DATEVALUE($D$4)), N28+1, ""))</f>
        <v/>
      </c>
      <c r="P28" s="21">
        <f>IF(O28="", "", IF(O28+1 &lt;= IF(ISNUMBER($D$4), $D$4, DATEVALUE($D$4)), O28+1, ""))</f>
        <v/>
      </c>
      <c r="Q28" s="21">
        <f>IF(P28="", "", IF(P28+1 &lt;= IF(ISNUMBER($D$4), $D$4, DATEVALUE($D$4)), P28+1, ""))</f>
        <v/>
      </c>
      <c r="R28" s="21">
        <f>IF(Q28="", "", IF(Q28+1 &lt;= IF(ISNUMBER($D$4), $D$4, DATEVALUE($D$4)), Q28+1, ""))</f>
        <v/>
      </c>
      <c r="S28" s="21">
        <f>IF(R28="", "", IF(R28+1 &lt;= IF(ISNUMBER($D$4), $D$4, DATEVALUE($D$4)), R28+1, ""))</f>
        <v/>
      </c>
      <c r="T28" s="21">
        <f>IF(S28="", "", IF(S28+1 &lt;= IF(ISNUMBER($D$4), $D$4, DATEVALUE($D$4)), S28+1, ""))</f>
        <v/>
      </c>
      <c r="U28" s="21">
        <f>IF(T28="", "", IF(T28+1 &lt;= IF(ISNUMBER($D$4), $D$4, DATEVALUE($D$4)), T28+1, ""))</f>
        <v/>
      </c>
      <c r="V28" s="21">
        <f>IF(U28="", "", IF(U28+1 &lt;= IF(ISNUMBER($D$4), $D$4, DATEVALUE($D$4)), U28+1, ""))</f>
        <v/>
      </c>
      <c r="W28" s="21">
        <f>IF(V28="", "", IF(V28+1 &lt;= IF(ISNUMBER($D$4), $D$4, DATEVALUE($D$4)), V28+1, ""))</f>
        <v/>
      </c>
      <c r="X28" s="21">
        <f>IF(W28="", "", IF(W28+1 &lt;= IF(ISNUMBER($D$4), $D$4, DATEVALUE($D$4)), W28+1, ""))</f>
        <v/>
      </c>
      <c r="Y28" s="21">
        <f>IF(X28="", "", IF(X28+1 &lt;= IF(ISNUMBER($D$4), $D$4, DATEVALUE($D$4)), X28+1, ""))</f>
        <v/>
      </c>
      <c r="Z28" s="21">
        <f>IF(Y28="", "", IF(Y28+1 &lt;= IF(ISNUMBER($D$4), $D$4, DATEVALUE($D$4)), Y28+1, ""))</f>
        <v/>
      </c>
      <c r="AA28" s="21">
        <f>IF(Z28="", "", IF(Z28+1 &lt;= IF(ISNUMBER($D$4), $D$4, DATEVALUE($D$4)), Z28+1, ""))</f>
        <v/>
      </c>
      <c r="AB28" s="21">
        <f>IF(AA28="", "", IF(AA28+1 &lt;= IF(ISNUMBER($D$4), $D$4, DATEVALUE($D$4)), AA28+1, ""))</f>
        <v/>
      </c>
      <c r="AC28" s="21">
        <f>IF(AB28="", "", IF(AB28+1 &lt;= IF(ISNUMBER($D$4), $D$4, DATEVALUE($D$4)), AB28+1, ""))</f>
        <v/>
      </c>
      <c r="AD28" s="21">
        <f>IF(AC28="", "", IF(AC28+1 &lt;= IF(ISNUMBER($D$4), $D$4, DATEVALUE($D$4)), AC28+1, ""))</f>
        <v/>
      </c>
      <c r="AE28" s="21">
        <f>IF(AD28="", "", IF(AD28+1 &lt;= IF(ISNUMBER($D$4), $D$4, DATEVALUE($D$4)), AD28+1, ""))</f>
        <v/>
      </c>
      <c r="AF28" s="21">
        <f>IF(AE28="", "", IF(AE28+1 &lt;= IF(ISNUMBER($D$4), $D$4, DATEVALUE($D$4)), AE28+1, ""))</f>
        <v/>
      </c>
      <c r="AG28" s="21">
        <f>IF(AF28="", "", IF(AF28+1 &lt;= IF(ISNUMBER($D$4), $D$4, DATEVALUE($D$4)), AF28+1, ""))</f>
        <v/>
      </c>
      <c r="AH28" s="21">
        <f>IF(AG28="","",IF(AG28+1&lt;=$D$4,AG28+1,""))</f>
        <v/>
      </c>
    </row>
    <row r="29" ht="20" customHeight="1" s="29">
      <c r="A29" s="22">
        <f>A13</f>
        <v/>
      </c>
      <c r="B29" s="23">
        <f>SUMIF(C$28:AG$28, "&lt;&gt;", C29:AG29)</f>
        <v/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 ht="20" customHeight="1" s="29">
      <c r="A30" s="22">
        <f>A14</f>
        <v/>
      </c>
      <c r="B30" s="23">
        <f>SUMIF(C$28:AG$28, "&lt;&gt;", C30:AG30)</f>
        <v/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</row>
    <row r="31" ht="20" customHeight="1" s="29">
      <c r="A31" s="22">
        <f>A15</f>
        <v/>
      </c>
      <c r="B31" s="23">
        <f>SUMIF(C$28:AG$28, "&lt;&gt;", C31:AG31)</f>
        <v/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 ht="20" customHeight="1" s="29">
      <c r="A32" s="22">
        <f>A16</f>
        <v/>
      </c>
      <c r="B32" s="23">
        <f>SUMIF(C$28:AG$28, "&lt;&gt;", C32:AG32)</f>
        <v/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</row>
    <row r="33" ht="20" customHeight="1" s="29">
      <c r="A33" s="22">
        <f>A17</f>
        <v/>
      </c>
      <c r="B33" s="23">
        <f>SUMIF(C$28:AG$28, "&lt;&gt;", C33:AG33)</f>
        <v/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</row>
    <row r="34" ht="20" customHeight="1" s="29">
      <c r="A34" s="22">
        <f>A18</f>
        <v/>
      </c>
      <c r="B34" s="23">
        <f>SUMIF(C$28:AG$28, "&lt;&gt;", C34:AG34)</f>
        <v/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 ht="20" customHeight="1" s="29">
      <c r="A35" s="22">
        <f>A19</f>
        <v/>
      </c>
      <c r="B35" s="23">
        <f>SUMIF(C$28:AG$28, "&lt;&gt;", C35:AG35)</f>
        <v/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 ht="20" customHeight="1" s="29">
      <c r="A36" s="22">
        <f>A20</f>
        <v/>
      </c>
      <c r="B36" s="23">
        <f>SUMIF(C$28:AG$28, "&lt;&gt;", C36:AG36)</f>
        <v/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 ht="20" customHeight="1" s="29">
      <c r="A37" s="22">
        <f>A21</f>
        <v/>
      </c>
      <c r="B37" s="23">
        <f>SUMIF(C$28:AG$28, "&lt;&gt;", C37:AG37)</f>
        <v/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 ht="20" customHeight="1" s="29">
      <c r="A38" s="22">
        <f>A22</f>
        <v/>
      </c>
      <c r="B38" s="23">
        <f>SUMIF(C$28:AG$28, "&lt;&gt;", C38:AG38)</f>
        <v/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 ht="22" customHeight="1" s="29">
      <c r="A39" s="8" t="inlineStr">
        <is>
          <t>Total Present</t>
        </is>
      </c>
      <c r="B39" s="24">
        <f>SUM(B29:B38)</f>
        <v/>
      </c>
      <c r="C39" s="25">
        <f>IF(C$28="","",SUM(C29:C38))</f>
        <v/>
      </c>
      <c r="D39" s="25">
        <f>IF(D$28="","",SUM(D29:D38))</f>
        <v/>
      </c>
      <c r="E39" s="25">
        <f>IF(E$28="","",SUM(E29:E38))</f>
        <v/>
      </c>
      <c r="F39" s="25">
        <f>IF(F$28="","",SUM(F29:F38))</f>
        <v/>
      </c>
      <c r="G39" s="25">
        <f>IF(G$28="","",SUM(G29:G38))</f>
        <v/>
      </c>
      <c r="H39" s="25">
        <f>IF(H$28="","",SUM(H29:H38))</f>
        <v/>
      </c>
      <c r="I39" s="25">
        <f>IF(I$28="","",SUM(I29:I38))</f>
        <v/>
      </c>
      <c r="J39" s="25">
        <f>IF(J$28="","",SUM(J29:J38))</f>
        <v/>
      </c>
      <c r="K39" s="25">
        <f>IF(K$28="","",SUM(K29:K38))</f>
        <v/>
      </c>
      <c r="L39" s="25">
        <f>IF(L$28="","",SUM(L29:L38))</f>
        <v/>
      </c>
      <c r="M39" s="25">
        <f>IF(M$28="","",SUM(M29:M38))</f>
        <v/>
      </c>
      <c r="N39" s="25">
        <f>IF(N$28="","",SUM(N29:N38))</f>
        <v/>
      </c>
      <c r="O39" s="25">
        <f>IF(O$28="","",SUM(O29:O38))</f>
        <v/>
      </c>
      <c r="P39" s="25">
        <f>IF(P$28="","",SUM(P29:P38))</f>
        <v/>
      </c>
      <c r="Q39" s="25">
        <f>IF(Q$28="","",SUM(Q29:Q38))</f>
        <v/>
      </c>
      <c r="R39" s="25">
        <f>IF(R$28="","",SUM(R29:R38))</f>
        <v/>
      </c>
      <c r="S39" s="25">
        <f>IF(S$28="","",SUM(S29:S38))</f>
        <v/>
      </c>
      <c r="T39" s="25">
        <f>IF(T$28="","",SUM(T29:T38))</f>
        <v/>
      </c>
      <c r="U39" s="25">
        <f>IF(U$28="","",SUM(U29:U38))</f>
        <v/>
      </c>
      <c r="V39" s="25">
        <f>IF(V$28="","",SUM(V29:V38))</f>
        <v/>
      </c>
      <c r="W39" s="25">
        <f>IF(W$28="","",SUM(W29:W38))</f>
        <v/>
      </c>
      <c r="X39" s="25">
        <f>IF(X$28="","",SUM(X29:X38))</f>
        <v/>
      </c>
      <c r="Y39" s="25">
        <f>IF(Y$28="","",SUM(Y29:Y38))</f>
        <v/>
      </c>
      <c r="Z39" s="25">
        <f>IF(Z$28="","",SUM(Z29:Z38))</f>
        <v/>
      </c>
      <c r="AA39" s="25">
        <f>IF(AA$28="","",SUM(AA29:AA38))</f>
        <v/>
      </c>
      <c r="AB39" s="25">
        <f>IF(AB$28="","",SUM(AB29:AB38))</f>
        <v/>
      </c>
      <c r="AC39" s="25">
        <f>IF(AC$28="","",SUM(AC29:AC38))</f>
        <v/>
      </c>
      <c r="AD39" s="25">
        <f>IF(AD$28="","",SUM(AD29:AD38))</f>
        <v/>
      </c>
      <c r="AE39" s="25">
        <f>IF(AE$28="","",SUM(AE29:AE38))</f>
        <v/>
      </c>
      <c r="AF39" s="25">
        <f>IF(AF$28="","",SUM(AF29:AF38))</f>
        <v/>
      </c>
      <c r="AG39" s="25">
        <f>IF(AG$28="","",SUM(AG29:AG38))</f>
        <v/>
      </c>
    </row>
    <row r="40" ht="22" customHeight="1" s="29">
      <c r="A40" s="8" t="inlineStr">
        <is>
          <t>PUB Cost per Person/Day</t>
        </is>
      </c>
      <c r="B40" s="26">
        <f>SUM(C40:AG40)</f>
        <v/>
      </c>
      <c r="C40" s="14">
        <f>IF(C$28="", "", IF(C39&gt;0, (C$8 / $F$4) / C39, (C$8 / $F$4) / COUNTA($A$13:$A$22)))</f>
        <v/>
      </c>
      <c r="D40" s="14">
        <f>IF(D$28="", "", IF(D39&gt;0, (C$8 / $F$4) / D39, (C$8 / $F$4) / COUNTA($A$13:$A$22)))</f>
        <v/>
      </c>
      <c r="E40" s="14">
        <f>IF(E$28="", "", IF(E39&gt;0, (C$8 / $F$4) / E39, (C$8 / $F$4) / COUNTA($A$13:$A$22)))</f>
        <v/>
      </c>
      <c r="F40" s="14">
        <f>IF(F$28="", "", IF(F39&gt;0, (C$8 / $F$4) / F39, (C$8 / $F$4) / COUNTA($A$13:$A$22)))</f>
        <v/>
      </c>
      <c r="G40" s="14">
        <f>IF(G$28="", "", IF(G39&gt;0, (C$8 / $F$4) / G39, (C$8 / $F$4) / COUNTA($A$13:$A$22)))</f>
        <v/>
      </c>
      <c r="H40" s="14">
        <f>IF(H$28="", "", IF(H39&gt;0, (C$8 / $F$4) / H39, (C$8 / $F$4) / COUNTA($A$13:$A$22)))</f>
        <v/>
      </c>
      <c r="I40" s="14">
        <f>IF(I$28="", "", IF(I39&gt;0, (C$8 / $F$4) / I39, (C$8 / $F$4) / COUNTA($A$13:$A$22)))</f>
        <v/>
      </c>
      <c r="J40" s="14">
        <f>IF(J$28="", "", IF(J39&gt;0, (C$8 / $F$4) / J39, (C$8 / $F$4) / COUNTA($A$13:$A$22)))</f>
        <v/>
      </c>
      <c r="K40" s="14">
        <f>IF(K$28="", "", IF(K39&gt;0, (C$8 / $F$4) / K39, (C$8 / $F$4) / COUNTA($A$13:$A$22)))</f>
        <v/>
      </c>
      <c r="L40" s="14">
        <f>IF(L$28="", "", IF(L39&gt;0, (C$8 / $F$4) / L39, (C$8 / $F$4) / COUNTA($A$13:$A$22)))</f>
        <v/>
      </c>
      <c r="M40" s="14">
        <f>IF(M$28="", "", IF(M39&gt;0, (C$8 / $F$4) / M39, (C$8 / $F$4) / COUNTA($A$13:$A$22)))</f>
        <v/>
      </c>
      <c r="N40" s="14">
        <f>IF(N$28="", "", IF(N39&gt;0, (C$8 / $F$4) / N39, (C$8 / $F$4) / COUNTA($A$13:$A$22)))</f>
        <v/>
      </c>
      <c r="O40" s="14">
        <f>IF(O$28="", "", IF(O39&gt;0, (C$8 / $F$4) / O39, (C$8 / $F$4) / COUNTA($A$13:$A$22)))</f>
        <v/>
      </c>
      <c r="P40" s="14">
        <f>IF(P$28="", "", IF(P39&gt;0, (C$8 / $F$4) / P39, (C$8 / $F$4) / COUNTA($A$13:$A$22)))</f>
        <v/>
      </c>
      <c r="Q40" s="14">
        <f>IF(Q$28="", "", IF(Q39&gt;0, (C$8 / $F$4) / Q39, (C$8 / $F$4) / COUNTA($A$13:$A$22)))</f>
        <v/>
      </c>
      <c r="R40" s="14">
        <f>IF(R$28="", "", IF(R39&gt;0, (C$8 / $F$4) / R39, (C$8 / $F$4) / COUNTA($A$13:$A$22)))</f>
        <v/>
      </c>
      <c r="S40" s="14">
        <f>IF(S$28="", "", IF(S39&gt;0, (C$8 / $F$4) / S39, (C$8 / $F$4) / COUNTA($A$13:$A$22)))</f>
        <v/>
      </c>
      <c r="T40" s="14">
        <f>IF(T$28="", "", IF(T39&gt;0, (C$8 / $F$4) / T39, (C$8 / $F$4) / COUNTA($A$13:$A$22)))</f>
        <v/>
      </c>
      <c r="U40" s="14">
        <f>IF(U$28="", "", IF(U39&gt;0, (C$8 / $F$4) / U39, (C$8 / $F$4) / COUNTA($A$13:$A$22)))</f>
        <v/>
      </c>
      <c r="V40" s="14">
        <f>IF(V$28="", "", IF(V39&gt;0, (C$8 / $F$4) / V39, (C$8 / $F$4) / COUNTA($A$13:$A$22)))</f>
        <v/>
      </c>
      <c r="W40" s="14">
        <f>IF(W$28="", "", IF(W39&gt;0, (C$8 / $F$4) / W39, (C$8 / $F$4) / COUNTA($A$13:$A$22)))</f>
        <v/>
      </c>
      <c r="X40" s="14">
        <f>IF(X$28="", "", IF(X39&gt;0, (C$8 / $F$4) / X39, (C$8 / $F$4) / COUNTA($A$13:$A$22)))</f>
        <v/>
      </c>
      <c r="Y40" s="14">
        <f>IF(Y$28="", "", IF(Y39&gt;0, (C$8 / $F$4) / Y39, (C$8 / $F$4) / COUNTA($A$13:$A$22)))</f>
        <v/>
      </c>
      <c r="Z40" s="14">
        <f>IF(Z$28="", "", IF(Z39&gt;0, (C$8 / $F$4) / Z39, (C$8 / $F$4) / COUNTA($A$13:$A$22)))</f>
        <v/>
      </c>
      <c r="AA40" s="14">
        <f>IF(AA$28="", "", IF(AA39&gt;0, (C$8 / $F$4) / AA39, (C$8 / $F$4) / COUNTA($A$13:$A$22)))</f>
        <v/>
      </c>
      <c r="AB40" s="14">
        <f>IF(AB$28="", "", IF(AB39&gt;0, (C$8 / $F$4) / AB39, (C$8 / $F$4) / COUNTA($A$13:$A$22)))</f>
        <v/>
      </c>
      <c r="AC40" s="14">
        <f>IF(AC$28="", "", IF(AC39&gt;0, (C$8 / $F$4) / AC39, (C$8 / $F$4) / COUNTA($A$13:$A$22)))</f>
        <v/>
      </c>
      <c r="AD40" s="14">
        <f>IF(AD$28="", "", IF(AD39&gt;0, (C$8 / $F$4) / AD39, (C$8 / $F$4) / COUNTA($A$13:$A$22)))</f>
        <v/>
      </c>
      <c r="AE40" s="14">
        <f>IF(AE$28="", "", IF(AE39&gt;0, (C$8 / $F$4) / AE39, (C$8 / $F$4) / COUNTA($A$13:$A$22)))</f>
        <v/>
      </c>
      <c r="AF40" s="14">
        <f>IF(AF$28="", "", IF(AF39&gt;0, (C$8 / $F$4) / AF39, (C$8 / $F$4) / COUNTA($A$13:$A$22)))</f>
        <v/>
      </c>
      <c r="AG40" s="14">
        <f>IF(AG$28="", "", IF(AG39&gt;0, (C$8 / $F$4) / AG39, (C$8 / $F$4) / COUNTA($A$13:$A$22)))</f>
        <v/>
      </c>
    </row>
    <row r="42" ht="16" customHeight="1" s="29">
      <c r="A42" s="34" t="inlineStr">
        <is>
          <t>HOW TO USE THIS SHEET:</t>
        </is>
      </c>
    </row>
    <row r="43" ht="18" customHeight="1" s="29">
      <c r="A43" s="28" t="inlineStr">
        <is>
          <t>1. Enter Billing Start/End Dates in B4/D4. The billing days calculate automatically.</t>
        </is>
      </c>
    </row>
    <row r="44" ht="18" customHeight="1" s="29">
      <c r="A44" s="28" t="inlineStr">
        <is>
          <t>2. Rename any of the utility headers (C7:F7) as needed (e.g., replace 'Custom 1' with 'Netflix' or 'Gas').</t>
        </is>
      </c>
    </row>
    <row r="45" ht="18" customHeight="1" s="29">
      <c r="A45" s="28" t="inlineStr">
        <is>
          <t>3. Enter the total bill for each utility in the green boxes (C8:F8).</t>
        </is>
      </c>
    </row>
    <row r="46" ht="18" customHeight="1" s="29">
      <c r="A46" s="28" t="inlineStr">
        <is>
          <t>4. Choose split methods in green boxes (C9:F9) - choose 'By Days Present' for variable bills (like PUB), 'Split Equally' for flat bills, or 'Split (Top 3)' to split equally among the first 3 occupants only.</t>
        </is>
      </c>
    </row>
    <row r="47" ht="18" customHeight="1" s="29">
      <c r="A47" s="28" t="inlineStr">
        <is>
          <t>5. Enter occupant names in green boxes A13:A22. They will mirror automatically in the daily tracker.</t>
        </is>
      </c>
    </row>
    <row r="48" ht="18" customHeight="1" s="29">
      <c r="A48" s="28" t="inlineStr">
        <is>
          <t>6. In Section 3 (Daily Occupancy Tracker), enter '1' in the green day columns for each day an occupant is present. Leave blank or enter '0' if they are away.</t>
        </is>
      </c>
    </row>
    <row r="49" ht="18" customHeight="1" s="29">
      <c r="A49" s="28" t="inlineStr">
        <is>
          <t>7. Note: The Day columns in Section 3 link to dates in B4/D4. Changing dates will automatically gray out and disable inactive columns.</t>
        </is>
      </c>
    </row>
    <row r="50" ht="18" customHeight="1" s="29">
      <c r="A50" s="32" t="inlineStr">
        <is>
          <t>💡 Verification status displays '✔ Balanced' when individual shares match the total bill. If some people were away, PUB will show '❌ Unbalanced' to reflect the unallocated vacancy cost of empty days.</t>
        </is>
      </c>
    </row>
  </sheetData>
  <mergeCells count="14">
    <mergeCell ref="A44:G44"/>
    <mergeCell ref="A27:AG27"/>
    <mergeCell ref="A1:G1"/>
    <mergeCell ref="A6:G6"/>
    <mergeCell ref="A50:G50"/>
    <mergeCell ref="A48:G48"/>
    <mergeCell ref="A2:G2"/>
    <mergeCell ref="A42:G42"/>
    <mergeCell ref="A43:G43"/>
    <mergeCell ref="A11:G11"/>
    <mergeCell ref="A49:G49"/>
    <mergeCell ref="A47:G47"/>
    <mergeCell ref="A45:G45"/>
    <mergeCell ref="A46:G46"/>
  </mergeCells>
  <conditionalFormatting sqref="C28:AG40">
    <cfRule type="expression" priority="1" dxfId="0" stopIfTrue="1">
      <formula>C$28=""</formula>
    </cfRule>
  </conditionalFormatting>
  <dataValidations count="1">
    <dataValidation sqref="C9:F9" showDropDown="0" showInputMessage="0" showErrorMessage="0" allowBlank="0" errorTitle="Invalid Entry" error="Your entry is not in the list" promptTitle="Split Method" prompt="Please select a split method" type="list">
      <formula1>"By Days Present,Split Equally,Split (Top 3)"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0"/>
  <sheetViews>
    <sheetView workbookViewId="0">
      <selection activeCell="A1" sqref="A1"/>
    </sheetView>
  </sheetViews>
  <sheetFormatPr baseColWidth="10" defaultColWidth="8.83203125" defaultRowHeight="15"/>
  <cols>
    <col width="24" customWidth="1" style="29" min="1" max="1"/>
    <col width="16" customWidth="1" style="29" min="2" max="2"/>
    <col width="6" customWidth="1" style="29" min="3" max="33"/>
  </cols>
  <sheetData>
    <row r="1" ht="30" customHeight="1" s="29">
      <c r="A1" s="30" t="inlineStr">
        <is>
          <t>HOUSEHOLD UTILITY BILL CALCULATOR - DECEMBER 2026</t>
        </is>
      </c>
    </row>
    <row r="2" ht="20" customHeight="1" s="29">
      <c r="A2" s="33" t="inlineStr">
        <is>
          <t>Distribute shared bills dynamically by days present or equal split. Edit the green shaded cells; formulas do the rest.</t>
        </is>
      </c>
    </row>
    <row r="4" ht="22" customHeight="1" s="29">
      <c r="A4" s="34" t="inlineStr">
        <is>
          <t>Billing Start Date:</t>
        </is>
      </c>
      <c r="B4" s="35" t="n">
        <v>46357</v>
      </c>
      <c r="C4" s="34" t="inlineStr">
        <is>
          <t>Billing End Date:</t>
        </is>
      </c>
      <c r="D4" s="35" t="n">
        <v>46387</v>
      </c>
      <c r="E4" s="34" t="inlineStr">
        <is>
          <t>Billing Period Days:</t>
        </is>
      </c>
      <c r="F4" s="3">
        <f>IF(AND($B$4&lt;&gt;"", $D$4&lt;&gt;""), IF(ISNUMBER($D$4), $D$4, DATEVALUE($D$4)) - IF(ISNUMBER($B$4), $B$4, DATEVALUE($B$4)) + 1, "")</f>
        <v/>
      </c>
    </row>
    <row r="6" ht="24" customHeight="1" s="29">
      <c r="A6" s="31" t="inlineStr">
        <is>
          <t>1. UTILITY CONFIGURATION</t>
        </is>
      </c>
    </row>
    <row r="7" ht="25" customHeight="1" s="29">
      <c r="A7" s="4" t="inlineStr">
        <is>
          <t>Utility Item</t>
        </is>
      </c>
      <c r="B7" s="5" t="inlineStr">
        <is>
          <t>Label Description</t>
        </is>
      </c>
      <c r="C7" s="6" t="inlineStr">
        <is>
          <t>PUB</t>
        </is>
      </c>
      <c r="D7" s="6" t="inlineStr">
        <is>
          <t>Internet</t>
        </is>
      </c>
      <c r="E7" s="6" t="inlineStr">
        <is>
          <t>Custom 1</t>
        </is>
      </c>
      <c r="F7" s="6" t="inlineStr">
        <is>
          <t>Custom 2</t>
        </is>
      </c>
      <c r="G7" s="7" t="inlineStr">
        <is>
          <t>TOTAL BILL</t>
        </is>
      </c>
    </row>
    <row r="8" ht="22" customHeight="1" s="29">
      <c r="A8" s="8" t="inlineStr">
        <is>
          <t>Total Bill Amount</t>
        </is>
      </c>
      <c r="B8" s="5" t="inlineStr">
        <is>
          <t>Enter costs -&gt;</t>
        </is>
      </c>
      <c r="C8" s="9" t="n">
        <v>150</v>
      </c>
      <c r="D8" s="9" t="n">
        <v>43.7</v>
      </c>
      <c r="E8" s="9" t="n">
        <v>0</v>
      </c>
      <c r="F8" s="9" t="n">
        <v>0</v>
      </c>
      <c r="G8" s="10">
        <f>SUM(C8:F8)</f>
        <v/>
      </c>
    </row>
    <row r="9" ht="22" customHeight="1" s="29">
      <c r="A9" s="8" t="inlineStr">
        <is>
          <t>Split Method</t>
        </is>
      </c>
      <c r="B9" s="5" t="inlineStr">
        <is>
          <t>Choose method -&gt;</t>
        </is>
      </c>
      <c r="C9" s="2" t="inlineStr">
        <is>
          <t>By Days Present</t>
        </is>
      </c>
      <c r="D9" s="2" t="inlineStr">
        <is>
          <t>Split (Top 3)</t>
        </is>
      </c>
      <c r="E9" s="2" t="inlineStr">
        <is>
          <t>Split Equally</t>
        </is>
      </c>
      <c r="F9" s="2" t="inlineStr">
        <is>
          <t>Split Equally</t>
        </is>
      </c>
      <c r="G9" s="11" t="n"/>
    </row>
    <row r="11" ht="24" customHeight="1" s="29">
      <c r="A11" s="31" t="inlineStr">
        <is>
          <t>2. OCCUPANT DETAIL &amp; BILL DIVISION</t>
        </is>
      </c>
    </row>
    <row r="12" ht="25" customHeight="1" s="29">
      <c r="A12" s="4" t="inlineStr">
        <is>
          <t>Occupant Name</t>
        </is>
      </c>
      <c r="B12" s="6" t="inlineStr">
        <is>
          <t>Days Present</t>
        </is>
      </c>
      <c r="C12" s="6" t="inlineStr">
        <is>
          <t>PUB Share</t>
        </is>
      </c>
      <c r="D12" s="6" t="inlineStr">
        <is>
          <t>Internet Share</t>
        </is>
      </c>
      <c r="E12" s="6" t="inlineStr">
        <is>
          <t>Custom 1</t>
        </is>
      </c>
      <c r="F12" s="6" t="inlineStr">
        <is>
          <t>Custom 2</t>
        </is>
      </c>
      <c r="G12" s="7" t="inlineStr">
        <is>
          <t>Total Owed</t>
        </is>
      </c>
    </row>
    <row r="13" ht="20" customHeight="1" s="29">
      <c r="A13" s="12" t="inlineStr">
        <is>
          <t>Alex</t>
        </is>
      </c>
      <c r="B13" s="13">
        <f>B29</f>
        <v/>
      </c>
      <c r="C13" s="14">
        <f>IF(ISBLANK($A13), "", IFERROR(IF(C$9="By Days Present", SUMPRODUCT((C$39:AG$39=0) + C29:AG29*(C$39:AG$39&gt;0), C$40:AG$40), IF(C$9="Split Equally", C$8 / COUNTA($A$13:$A$22), IF(C$9="Split (Top 3)", IF(ROW()&lt;=15, C$8 / 3, 0), 0))), 0))</f>
        <v/>
      </c>
      <c r="D13" s="14">
        <f>IF(ISBLANK($A13), "", IFERROR(IF(D$9="By Days Present", SUMPRODUCT(((C$39:AG$39=0)/COUNTA($A$13:$A$22) + (C29:AG29/(C$39:AG$39 + (C$39:AG$39=0)))*(C$39:AG$39&gt;0)), (C$28:AG$28&lt;&gt;"") * (D$8 / $F$4)), IF(D$9="Split Equally", D$8 / COUNTA($A$13:$A$22), IF(D$9="Split (Top 3)", IF(ROW()&lt;=15, D$8 / 3, 0), 0))), 0))</f>
        <v/>
      </c>
      <c r="E13" s="14">
        <f>IF(ISBLANK($A13), "", IFERROR(IF(E$9="By Days Present", SUMPRODUCT(((C$39:AG$39=0)/COUNTA($A$13:$A$22) + (C29:AG29/(C$39:AG$39 + (C$39:AG$39=0)))*(C$39:AG$39&gt;0)), (C$28:AG$28&lt;&gt;"") * (E$8 / $F$4)), IF(E$9="Split Equally", E$8 / COUNTA($A$13:$A$22), IF(E$9="Split (Top 3)", IF(ROW()&lt;=15, E$8 / 3, 0), 0))), 0))</f>
        <v/>
      </c>
      <c r="F13" s="14">
        <f>IF(ISBLANK($A13), "", IFERROR(IF(F$9="By Days Present", SUMPRODUCT(((C$39:AG$39=0)/COUNTA($A$13:$A$22) + (C29:AG29/(C$39:AG$39 + (C$39:AG$39=0)))*(C$39:AG$39&gt;0)), (C$28:AG$28&lt;&gt;"") * (F$8 / $F$4)), IF(F$9="Split Equally", F$8 / COUNTA($A$13:$A$22), IF(F$9="Split (Top 3)", IF(ROW()&lt;=15, F$8 / 3, 0), 0))), 0))</f>
        <v/>
      </c>
      <c r="G13" s="10">
        <f>IF(ISBLANK($A13), "", SUM(C13:F13))</f>
        <v/>
      </c>
    </row>
    <row r="14" ht="20" customHeight="1" s="29">
      <c r="A14" s="12" t="inlineStr">
        <is>
          <t>Jordan</t>
        </is>
      </c>
      <c r="B14" s="13">
        <f>B30</f>
        <v/>
      </c>
      <c r="C14" s="15">
        <f>IF(ISBLANK($A14), "", IFERROR(IF(C$9="By Days Present", SUMPRODUCT((C$39:AG$39=0) + C30:AG30*(C$39:AG$39&gt;0), C$40:AG$40), IF(C$9="Split Equally", C$8 / COUNTA($A$13:$A$22), IF(C$9="Split (Top 3)", IF(ROW()&lt;=15, C$8 / 3, 0), 0))), 0))</f>
        <v/>
      </c>
      <c r="D14" s="15">
        <f>IF(ISBLANK($A14), "", IFERROR(IF(D$9="By Days Present", SUMPRODUCT(((C$39:AG$39=0)/COUNTA($A$13:$A$22) + (C30:AG30/(C$39:AG$39 + (C$39:AG$39=0)))*(C$39:AG$39&gt;0)), (C$28:AG$28&lt;&gt;"") * (D$8 / $F$4)), IF(D$9="Split Equally", D$8 / COUNTA($A$13:$A$22), IF(D$9="Split (Top 3)", IF(ROW()&lt;=15, D$8 / 3, 0), 0))), 0))</f>
        <v/>
      </c>
      <c r="E14" s="15">
        <f>IF(ISBLANK($A14), "", IFERROR(IF(E$9="By Days Present", SUMPRODUCT(((C$39:AG$39=0)/COUNTA($A$13:$A$22) + (C30:AG30/(C$39:AG$39 + (C$39:AG$39=0)))*(C$39:AG$39&gt;0)), (C$28:AG$28&lt;&gt;"") * (E$8 / $F$4)), IF(E$9="Split Equally", E$8 / COUNTA($A$13:$A$22), IF(E$9="Split (Top 3)", IF(ROW()&lt;=15, E$8 / 3, 0), 0))), 0))</f>
        <v/>
      </c>
      <c r="F14" s="15">
        <f>IF(ISBLANK($A14), "", IFERROR(IF(F$9="By Days Present", SUMPRODUCT(((C$39:AG$39=0)/COUNTA($A$13:$A$22) + (C30:AG30/(C$39:AG$39 + (C$39:AG$39=0)))*(C$39:AG$39&gt;0)), (C$28:AG$28&lt;&gt;"") * (F$8 / $F$4)), IF(F$9="Split Equally", F$8 / COUNTA($A$13:$A$22), IF(F$9="Split (Top 3)", IF(ROW()&lt;=15, F$8 / 3, 0), 0))), 0))</f>
        <v/>
      </c>
      <c r="G14" s="10">
        <f>IF(ISBLANK($A14), "", SUM(C14:F14))</f>
        <v/>
      </c>
    </row>
    <row r="15" ht="20" customHeight="1" s="29">
      <c r="A15" s="12" t="inlineStr">
        <is>
          <t>Morgan</t>
        </is>
      </c>
      <c r="B15" s="13">
        <f>B31</f>
        <v/>
      </c>
      <c r="C15" s="14">
        <f>IF(ISBLANK($A15), "", IFERROR(IF(C$9="By Days Present", SUMPRODUCT((C$39:AG$39=0) + C31:AG31*(C$39:AG$39&gt;0), C$40:AG$40), IF(C$9="Split Equally", C$8 / COUNTA($A$13:$A$22), IF(C$9="Split (Top 3)", IF(ROW()&lt;=15, C$8 / 3, 0), 0))), 0))</f>
        <v/>
      </c>
      <c r="D15" s="14">
        <f>IF(ISBLANK($A15), "", IFERROR(IF(D$9="By Days Present", SUMPRODUCT(((C$39:AG$39=0)/COUNTA($A$13:$A$22) + (C31:AG31/(C$39:AG$39 + (C$39:AG$39=0)))*(C$39:AG$39&gt;0)), (C$28:AG$28&lt;&gt;"") * (D$8 / $F$4)), IF(D$9="Split Equally", D$8 / COUNTA($A$13:$A$22), IF(D$9="Split (Top 3)", IF(ROW()&lt;=15, D$8 / 3, 0), 0))), 0))</f>
        <v/>
      </c>
      <c r="E15" s="14">
        <f>IF(ISBLANK($A15), "", IFERROR(IF(E$9="By Days Present", SUMPRODUCT(((C$39:AG$39=0)/COUNTA($A$13:$A$22) + (C31:AG31/(C$39:AG$39 + (C$39:AG$39=0)))*(C$39:AG$39&gt;0)), (C$28:AG$28&lt;&gt;"") * (E$8 / $F$4)), IF(E$9="Split Equally", E$8 / COUNTA($A$13:$A$22), IF(E$9="Split (Top 3)", IF(ROW()&lt;=15, E$8 / 3, 0), 0))), 0))</f>
        <v/>
      </c>
      <c r="F15" s="14">
        <f>IF(ISBLANK($A15), "", IFERROR(IF(F$9="By Days Present", SUMPRODUCT(((C$39:AG$39=0)/COUNTA($A$13:$A$22) + (C31:AG31/(C$39:AG$39 + (C$39:AG$39=0)))*(C$39:AG$39&gt;0)), (C$28:AG$28&lt;&gt;"") * (F$8 / $F$4)), IF(F$9="Split Equally", F$8 / COUNTA($A$13:$A$22), IF(F$9="Split (Top 3)", IF(ROW()&lt;=15, F$8 / 3, 0), 0))), 0))</f>
        <v/>
      </c>
      <c r="G15" s="10">
        <f>IF(ISBLANK($A15), "", SUM(C15:F15))</f>
        <v/>
      </c>
    </row>
    <row r="16" ht="20" customHeight="1" s="29">
      <c r="A16" s="12" t="inlineStr">
        <is>
          <t>Taylor</t>
        </is>
      </c>
      <c r="B16" s="13">
        <f>B32</f>
        <v/>
      </c>
      <c r="C16" s="15">
        <f>IF(ISBLANK($A16), "", IFERROR(IF(C$9="By Days Present", SUMPRODUCT((C$39:AG$39=0) + C32:AG32*(C$39:AG$39&gt;0), C$40:AG$40), IF(C$9="Split Equally", C$8 / COUNTA($A$13:$A$22), IF(C$9="Split (Top 3)", IF(ROW()&lt;=15, C$8 / 3, 0), 0))), 0))</f>
        <v/>
      </c>
      <c r="D16" s="15">
        <f>IF(ISBLANK($A16), "", IFERROR(IF(D$9="By Days Present", SUMPRODUCT(((C$39:AG$39=0)/COUNTA($A$13:$A$22) + (C32:AG32/(C$39:AG$39 + (C$39:AG$39=0)))*(C$39:AG$39&gt;0)), (C$28:AG$28&lt;&gt;"") * (D$8 / $F$4)), IF(D$9="Split Equally", D$8 / COUNTA($A$13:$A$22), IF(D$9="Split (Top 3)", IF(ROW()&lt;=15, D$8 / 3, 0), 0))), 0))</f>
        <v/>
      </c>
      <c r="E16" s="15">
        <f>IF(ISBLANK($A16), "", IFERROR(IF(E$9="By Days Present", SUMPRODUCT(((C$39:AG$39=0)/COUNTA($A$13:$A$22) + (C32:AG32/(C$39:AG$39 + (C$39:AG$39=0)))*(C$39:AG$39&gt;0)), (C$28:AG$28&lt;&gt;"") * (E$8 / $F$4)), IF(E$9="Split Equally", E$8 / COUNTA($A$13:$A$22), IF(E$9="Split (Top 3)", IF(ROW()&lt;=15, E$8 / 3, 0), 0))), 0))</f>
        <v/>
      </c>
      <c r="F16" s="15">
        <f>IF(ISBLANK($A16), "", IFERROR(IF(F$9="By Days Present", SUMPRODUCT(((C$39:AG$39=0)/COUNTA($A$13:$A$22) + (C32:AG32/(C$39:AG$39 + (C$39:AG$39=0)))*(C$39:AG$39&gt;0)), (C$28:AG$28&lt;&gt;"") * (F$8 / $F$4)), IF(F$9="Split Equally", F$8 / COUNTA($A$13:$A$22), IF(F$9="Split (Top 3)", IF(ROW()&lt;=15, F$8 / 3, 0), 0))), 0))</f>
        <v/>
      </c>
      <c r="G16" s="10">
        <f>IF(ISBLANK($A16), "", SUM(C16:F16))</f>
        <v/>
      </c>
    </row>
    <row r="17" ht="20" customHeight="1" s="29">
      <c r="A17" s="12" t="n"/>
      <c r="B17" s="13">
        <f>B33</f>
        <v/>
      </c>
      <c r="C17" s="14">
        <f>IF(ISBLANK($A17), "", IFERROR(IF(C$9="By Days Present", SUMPRODUCT((C$39:AG$39=0) + C33:AG33*(C$39:AG$39&gt;0), C$40:AG$40), IF(C$9="Split Equally", C$8 / COUNTA($A$13:$A$22), IF(C$9="Split (Top 3)", IF(ROW()&lt;=15, C$8 / 3, 0), 0))), 0))</f>
        <v/>
      </c>
      <c r="D17" s="14">
        <f>IF(ISBLANK($A17), "", IFERROR(IF(D$9="By Days Present", SUMPRODUCT(((C$39:AG$39=0)/COUNTA($A$13:$A$22) + (C33:AG33/(C$39:AG$39 + (C$39:AG$39=0)))*(C$39:AG$39&gt;0)), (C$28:AG$28&lt;&gt;"") * (D$8 / $F$4)), IF(D$9="Split Equally", D$8 / COUNTA($A$13:$A$22), IF(D$9="Split (Top 3)", IF(ROW()&lt;=15, D$8 / 3, 0), 0))), 0))</f>
        <v/>
      </c>
      <c r="E17" s="14">
        <f>IF(ISBLANK($A17), "", IFERROR(IF(E$9="By Days Present", SUMPRODUCT(((C$39:AG$39=0)/COUNTA($A$13:$A$22) + (C33:AG33/(C$39:AG$39 + (C$39:AG$39=0)))*(C$39:AG$39&gt;0)), (C$28:AG$28&lt;&gt;"") * (E$8 / $F$4)), IF(E$9="Split Equally", E$8 / COUNTA($A$13:$A$22), IF(E$9="Split (Top 3)", IF(ROW()&lt;=15, E$8 / 3, 0), 0))), 0))</f>
        <v/>
      </c>
      <c r="F17" s="14">
        <f>IF(ISBLANK($A17), "", IFERROR(IF(F$9="By Days Present", SUMPRODUCT(((C$39:AG$39=0)/COUNTA($A$13:$A$22) + (C33:AG33/(C$39:AG$39 + (C$39:AG$39=0)))*(C$39:AG$39&gt;0)), (C$28:AG$28&lt;&gt;"") * (F$8 / $F$4)), IF(F$9="Split Equally", F$8 / COUNTA($A$13:$A$22), IF(F$9="Split (Top 3)", IF(ROW()&lt;=15, F$8 / 3, 0), 0))), 0))</f>
        <v/>
      </c>
      <c r="G17" s="10">
        <f>IF(ISBLANK($A17), "", SUM(C17:F17))</f>
        <v/>
      </c>
    </row>
    <row r="18" ht="20" customHeight="1" s="29">
      <c r="A18" s="12" t="n"/>
      <c r="B18" s="13">
        <f>B34</f>
        <v/>
      </c>
      <c r="C18" s="15">
        <f>IF(ISBLANK($A18), "", IFERROR(IF(C$9="By Days Present", SUMPRODUCT((C$39:AG$39=0) + C34:AG34*(C$39:AG$39&gt;0), C$40:AG$40), IF(C$9="Split Equally", C$8 / COUNTA($A$13:$A$22), IF(C$9="Split (Top 3)", IF(ROW()&lt;=15, C$8 / 3, 0), 0))), 0))</f>
        <v/>
      </c>
      <c r="D18" s="15">
        <f>IF(ISBLANK($A18), "", IFERROR(IF(D$9="By Days Present", SUMPRODUCT(((C$39:AG$39=0)/COUNTA($A$13:$A$22) + (C34:AG34/(C$39:AG$39 + (C$39:AG$39=0)))*(C$39:AG$39&gt;0)), (C$28:AG$28&lt;&gt;"") * (D$8 / $F$4)), IF(D$9="Split Equally", D$8 / COUNTA($A$13:$A$22), IF(D$9="Split (Top 3)", IF(ROW()&lt;=15, D$8 / 3, 0), 0))), 0))</f>
        <v/>
      </c>
      <c r="E18" s="15">
        <f>IF(ISBLANK($A18), "", IFERROR(IF(E$9="By Days Present", SUMPRODUCT(((C$39:AG$39=0)/COUNTA($A$13:$A$22) + (C34:AG34/(C$39:AG$39 + (C$39:AG$39=0)))*(C$39:AG$39&gt;0)), (C$28:AG$28&lt;&gt;"") * (E$8 / $F$4)), IF(E$9="Split Equally", E$8 / COUNTA($A$13:$A$22), IF(E$9="Split (Top 3)", IF(ROW()&lt;=15, E$8 / 3, 0), 0))), 0))</f>
        <v/>
      </c>
      <c r="F18" s="15">
        <f>IF(ISBLANK($A18), "", IFERROR(IF(F$9="By Days Present", SUMPRODUCT(((C$39:AG$39=0)/COUNTA($A$13:$A$22) + (C34:AG34/(C$39:AG$39 + (C$39:AG$39=0)))*(C$39:AG$39&gt;0)), (C$28:AG$28&lt;&gt;"") * (F$8 / $F$4)), IF(F$9="Split Equally", F$8 / COUNTA($A$13:$A$22), IF(F$9="Split (Top 3)", IF(ROW()&lt;=15, F$8 / 3, 0), 0))), 0))</f>
        <v/>
      </c>
      <c r="G18" s="10">
        <f>IF(ISBLANK($A18), "", SUM(C18:F18))</f>
        <v/>
      </c>
    </row>
    <row r="19" ht="20" customHeight="1" s="29">
      <c r="A19" s="12" t="n"/>
      <c r="B19" s="13">
        <f>B35</f>
        <v/>
      </c>
      <c r="C19" s="14">
        <f>IF(ISBLANK($A19), "", IFERROR(IF(C$9="By Days Present", SUMPRODUCT((C$39:AG$39=0) + C35:AG35*(C$39:AG$39&gt;0), C$40:AG$40), IF(C$9="Split Equally", C$8 / COUNTA($A$13:$A$22), IF(C$9="Split (Top 3)", IF(ROW()&lt;=15, C$8 / 3, 0), 0))), 0))</f>
        <v/>
      </c>
      <c r="D19" s="14">
        <f>IF(ISBLANK($A19), "", IFERROR(IF(D$9="By Days Present", SUMPRODUCT(((C$39:AG$39=0)/COUNTA($A$13:$A$22) + (C35:AG35/(C$39:AG$39 + (C$39:AG$39=0)))*(C$39:AG$39&gt;0)), (C$28:AG$28&lt;&gt;"") * (D$8 / $F$4)), IF(D$9="Split Equally", D$8 / COUNTA($A$13:$A$22), IF(D$9="Split (Top 3)", IF(ROW()&lt;=15, D$8 / 3, 0), 0))), 0))</f>
        <v/>
      </c>
      <c r="E19" s="14">
        <f>IF(ISBLANK($A19), "", IFERROR(IF(E$9="By Days Present", SUMPRODUCT(((C$39:AG$39=0)/COUNTA($A$13:$A$22) + (C35:AG35/(C$39:AG$39 + (C$39:AG$39=0)))*(C$39:AG$39&gt;0)), (C$28:AG$28&lt;&gt;"") * (E$8 / $F$4)), IF(E$9="Split Equally", E$8 / COUNTA($A$13:$A$22), IF(E$9="Split (Top 3)", IF(ROW()&lt;=15, E$8 / 3, 0), 0))), 0))</f>
        <v/>
      </c>
      <c r="F19" s="14">
        <f>IF(ISBLANK($A19), "", IFERROR(IF(F$9="By Days Present", SUMPRODUCT(((C$39:AG$39=0)/COUNTA($A$13:$A$22) + (C35:AG35/(C$39:AG$39 + (C$39:AG$39=0)))*(C$39:AG$39&gt;0)), (C$28:AG$28&lt;&gt;"") * (F$8 / $F$4)), IF(F$9="Split Equally", F$8 / COUNTA($A$13:$A$22), IF(F$9="Split (Top 3)", IF(ROW()&lt;=15, F$8 / 3, 0), 0))), 0))</f>
        <v/>
      </c>
      <c r="G19" s="10">
        <f>IF(ISBLANK($A19), "", SUM(C19:F19))</f>
        <v/>
      </c>
    </row>
    <row r="20" ht="20" customHeight="1" s="29">
      <c r="A20" s="12" t="n"/>
      <c r="B20" s="13">
        <f>B36</f>
        <v/>
      </c>
      <c r="C20" s="15">
        <f>IF(ISBLANK($A20), "", IFERROR(IF(C$9="By Days Present", SUMPRODUCT((C$39:AG$39=0) + C36:AG36*(C$39:AG$39&gt;0), C$40:AG$40), IF(C$9="Split Equally", C$8 / COUNTA($A$13:$A$22), IF(C$9="Split (Top 3)", IF(ROW()&lt;=15, C$8 / 3, 0), 0))), 0))</f>
        <v/>
      </c>
      <c r="D20" s="15">
        <f>IF(ISBLANK($A20), "", IFERROR(IF(D$9="By Days Present", SUMPRODUCT(((C$39:AG$39=0)/COUNTA($A$13:$A$22) + (C36:AG36/(C$39:AG$39 + (C$39:AG$39=0)))*(C$39:AG$39&gt;0)), (C$28:AG$28&lt;&gt;"") * (D$8 / $F$4)), IF(D$9="Split Equally", D$8 / COUNTA($A$13:$A$22), IF(D$9="Split (Top 3)", IF(ROW()&lt;=15, D$8 / 3, 0), 0))), 0))</f>
        <v/>
      </c>
      <c r="E20" s="15">
        <f>IF(ISBLANK($A20), "", IFERROR(IF(E$9="By Days Present", SUMPRODUCT(((C$39:AG$39=0)/COUNTA($A$13:$A$22) + (C36:AG36/(C$39:AG$39 + (C$39:AG$39=0)))*(C$39:AG$39&gt;0)), (C$28:AG$28&lt;&gt;"") * (E$8 / $F$4)), IF(E$9="Split Equally", E$8 / COUNTA($A$13:$A$22), IF(E$9="Split (Top 3)", IF(ROW()&lt;=15, E$8 / 3, 0), 0))), 0))</f>
        <v/>
      </c>
      <c r="F20" s="15">
        <f>IF(ISBLANK($A20), "", IFERROR(IF(F$9="By Days Present", SUMPRODUCT(((C$39:AG$39=0)/COUNTA($A$13:$A$22) + (C36:AG36/(C$39:AG$39 + (C$39:AG$39=0)))*(C$39:AG$39&gt;0)), (C$28:AG$28&lt;&gt;"") * (F$8 / $F$4)), IF(F$9="Split Equally", F$8 / COUNTA($A$13:$A$22), IF(F$9="Split (Top 3)", IF(ROW()&lt;=15, F$8 / 3, 0), 0))), 0))</f>
        <v/>
      </c>
      <c r="G20" s="10">
        <f>IF(ISBLANK($A20), "", SUM(C20:F20))</f>
        <v/>
      </c>
    </row>
    <row r="21" ht="20" customHeight="1" s="29">
      <c r="A21" s="12" t="n"/>
      <c r="B21" s="13">
        <f>B37</f>
        <v/>
      </c>
      <c r="C21" s="14">
        <f>IF(ISBLANK($A21), "", IFERROR(IF(C$9="By Days Present", SUMPRODUCT((C$39:AG$39=0) + C37:AG37*(C$39:AG$39&gt;0), C$40:AG$40), IF(C$9="Split Equally", C$8 / COUNTA($A$13:$A$22), IF(C$9="Split (Top 3)", IF(ROW()&lt;=15, C$8 / 3, 0), 0))), 0))</f>
        <v/>
      </c>
      <c r="D21" s="14">
        <f>IF(ISBLANK($A21), "", IFERROR(IF(D$9="By Days Present", SUMPRODUCT(((C$39:AG$39=0)/COUNTA($A$13:$A$22) + (C37:AG37/(C$39:AG$39 + (C$39:AG$39=0)))*(C$39:AG$39&gt;0)), (C$28:AG$28&lt;&gt;"") * (D$8 / $F$4)), IF(D$9="Split Equally", D$8 / COUNTA($A$13:$A$22), IF(D$9="Split (Top 3)", IF(ROW()&lt;=15, D$8 / 3, 0), 0))), 0))</f>
        <v/>
      </c>
      <c r="E21" s="14">
        <f>IF(ISBLANK($A21), "", IFERROR(IF(E$9="By Days Present", SUMPRODUCT(((C$39:AG$39=0)/COUNTA($A$13:$A$22) + (C37:AG37/(C$39:AG$39 + (C$39:AG$39=0)))*(C$39:AG$39&gt;0)), (C$28:AG$28&lt;&gt;"") * (E$8 / $F$4)), IF(E$9="Split Equally", E$8 / COUNTA($A$13:$A$22), IF(E$9="Split (Top 3)", IF(ROW()&lt;=15, E$8 / 3, 0), 0))), 0))</f>
        <v/>
      </c>
      <c r="F21" s="14">
        <f>IF(ISBLANK($A21), "", IFERROR(IF(F$9="By Days Present", SUMPRODUCT(((C$39:AG$39=0)/COUNTA($A$13:$A$22) + (C37:AG37/(C$39:AG$39 + (C$39:AG$39=0)))*(C$39:AG$39&gt;0)), (C$28:AG$28&lt;&gt;"") * (F$8 / $F$4)), IF(F$9="Split Equally", F$8 / COUNTA($A$13:$A$22), IF(F$9="Split (Top 3)", IF(ROW()&lt;=15, F$8 / 3, 0), 0))), 0))</f>
        <v/>
      </c>
      <c r="G21" s="10">
        <f>IF(ISBLANK($A21), "", SUM(C21:F21))</f>
        <v/>
      </c>
    </row>
    <row r="22" ht="20" customHeight="1" s="29">
      <c r="A22" s="12" t="n"/>
      <c r="B22" s="13">
        <f>B38</f>
        <v/>
      </c>
      <c r="C22" s="15">
        <f>IF(ISBLANK($A22), "", IFERROR(IF(C$9="By Days Present", SUMPRODUCT((C$39:AG$39=0) + C38:AG38*(C$39:AG$39&gt;0), C$40:AG$40), IF(C$9="Split Equally", C$8 / COUNTA($A$13:$A$22), IF(C$9="Split (Top 3)", IF(ROW()&lt;=15, C$8 / 3, 0), 0))), 0))</f>
        <v/>
      </c>
      <c r="D22" s="15">
        <f>IF(ISBLANK($A22), "", IFERROR(IF(D$9="By Days Present", SUMPRODUCT(((C$39:AG$39=0)/COUNTA($A$13:$A$22) + (C38:AG38/(C$39:AG$39 + (C$39:AG$39=0)))*(C$39:AG$39&gt;0)), (C$28:AG$28&lt;&gt;"") * (D$8 / $F$4)), IF(D$9="Split Equally", D$8 / COUNTA($A$13:$A$22), IF(D$9="Split (Top 3)", IF(ROW()&lt;=15, D$8 / 3, 0), 0))), 0))</f>
        <v/>
      </c>
      <c r="E22" s="15">
        <f>IF(ISBLANK($A22), "", IFERROR(IF(E$9="By Days Present", SUMPRODUCT(((C$39:AG$39=0)/COUNTA($A$13:$A$22) + (C38:AG38/(C$39:AG$39 + (C$39:AG$39=0)))*(C$39:AG$39&gt;0)), (C$28:AG$28&lt;&gt;"") * (E$8 / $F$4)), IF(E$9="Split Equally", E$8 / COUNTA($A$13:$A$22), IF(E$9="Split (Top 3)", IF(ROW()&lt;=15, E$8 / 3, 0), 0))), 0))</f>
        <v/>
      </c>
      <c r="F22" s="15">
        <f>IF(ISBLANK($A22), "", IFERROR(IF(F$9="By Days Present", SUMPRODUCT(((C$39:AG$39=0)/COUNTA($A$13:$A$22) + (C38:AG38/(C$39:AG$39 + (C$39:AG$39=0)))*(C$39:AG$39&gt;0)), (C$28:AG$28&lt;&gt;"") * (F$8 / $F$4)), IF(F$9="Split Equally", F$8 / COUNTA($A$13:$A$22), IF(F$9="Split (Top 3)", IF(ROW()&lt;=15, F$8 / 3, 0), 0))), 0))</f>
        <v/>
      </c>
      <c r="G22" s="10">
        <f>IF(ISBLANK($A22), "", SUM(C22:F22))</f>
        <v/>
      </c>
    </row>
    <row r="23" ht="22" customHeight="1" s="29">
      <c r="A23" s="16" t="inlineStr">
        <is>
          <t>Total Allocated Share</t>
        </is>
      </c>
      <c r="B23" s="17">
        <f>SUM(B13:B22)</f>
        <v/>
      </c>
      <c r="C23" s="18">
        <f>SUM(C13:C22)</f>
        <v/>
      </c>
      <c r="D23" s="18">
        <f>SUM(D13:D22)</f>
        <v/>
      </c>
      <c r="E23" s="18">
        <f>SUM(E13:E22)</f>
        <v/>
      </c>
      <c r="F23" s="18">
        <f>SUM(F13:F22)</f>
        <v/>
      </c>
      <c r="G23" s="18">
        <f>SUM(G13:G22)</f>
        <v/>
      </c>
    </row>
    <row r="24" ht="22" customHeight="1" s="29">
      <c r="A24" s="8" t="inlineStr">
        <is>
          <t>Actual Total Bill Amount</t>
        </is>
      </c>
      <c r="B24" s="11" t="n"/>
      <c r="C24" s="14">
        <f>C8</f>
        <v/>
      </c>
      <c r="D24" s="14">
        <f>D8</f>
        <v/>
      </c>
      <c r="E24" s="14">
        <f>E8</f>
        <v/>
      </c>
      <c r="F24" s="14">
        <f>F8</f>
        <v/>
      </c>
      <c r="G24" s="19">
        <f>G8</f>
        <v/>
      </c>
    </row>
    <row r="25" ht="22" customHeight="1" s="29">
      <c r="A25" s="8" t="inlineStr">
        <is>
          <t>Reconciliation Status</t>
        </is>
      </c>
      <c r="B25" s="11" t="n"/>
      <c r="C25" s="20">
        <f>IF(ABS(C23-C24)&lt;0.01, "✔ Balanced", "❌ Unbalanced")</f>
        <v/>
      </c>
      <c r="D25" s="20">
        <f>IF(ABS(D23-D24)&lt;0.01, "✔ Balanced", "❌ Unbalanced")</f>
        <v/>
      </c>
      <c r="E25" s="20">
        <f>IF(ABS(E23-E24)&lt;0.01, "✔ Balanced", "❌ Unbalanced")</f>
        <v/>
      </c>
      <c r="F25" s="20">
        <f>IF(ABS(F23-F24)&lt;0.01, "✔ Balanced", "❌ Unbalanced")</f>
        <v/>
      </c>
      <c r="G25" s="20">
        <f>IF(ABS(G23-G24)&lt;0.01, "✔ Balanced", "❌ Unbalanced")</f>
        <v/>
      </c>
    </row>
    <row r="27" ht="24" customHeight="1" s="29">
      <c r="A27" s="31" t="inlineStr">
        <is>
          <t>3. DAILY OCCUPANCY TRACKER (Simply enter '1' for each day an occupant is present; leave blank or enter '0' if absent)</t>
        </is>
      </c>
    </row>
    <row r="28" ht="25" customHeight="1" s="29">
      <c r="A28" s="4" t="inlineStr">
        <is>
          <t>Occupant Name</t>
        </is>
      </c>
      <c r="B28" s="6" t="inlineStr">
        <is>
          <t>Total Days</t>
        </is>
      </c>
      <c r="C28" s="21">
        <f>IF(OR($B$4="", ISBLANK($B$4)), "", IF(ISNUMBER($B$4), $B$4, DATEVALUE($B$4)))</f>
        <v/>
      </c>
      <c r="D28" s="21">
        <f>IF(C28="", "", IF(C28+1 &lt;= IF(ISNUMBER($D$4), $D$4, DATEVALUE($D$4)), C28+1, ""))</f>
        <v/>
      </c>
      <c r="E28" s="21">
        <f>IF(D28="", "", IF(D28+1 &lt;= IF(ISNUMBER($D$4), $D$4, DATEVALUE($D$4)), D28+1, ""))</f>
        <v/>
      </c>
      <c r="F28" s="21">
        <f>IF(E28="", "", IF(E28+1 &lt;= IF(ISNUMBER($D$4), $D$4, DATEVALUE($D$4)), E28+1, ""))</f>
        <v/>
      </c>
      <c r="G28" s="21">
        <f>IF(F28="", "", IF(F28+1 &lt;= IF(ISNUMBER($D$4), $D$4, DATEVALUE($D$4)), F28+1, ""))</f>
        <v/>
      </c>
      <c r="H28" s="21">
        <f>IF(G28="", "", IF(G28+1 &lt;= IF(ISNUMBER($D$4), $D$4, DATEVALUE($D$4)), G28+1, ""))</f>
        <v/>
      </c>
      <c r="I28" s="21">
        <f>IF(H28="", "", IF(H28+1 &lt;= IF(ISNUMBER($D$4), $D$4, DATEVALUE($D$4)), H28+1, ""))</f>
        <v/>
      </c>
      <c r="J28" s="21">
        <f>IF(I28="", "", IF(I28+1 &lt;= IF(ISNUMBER($D$4), $D$4, DATEVALUE($D$4)), I28+1, ""))</f>
        <v/>
      </c>
      <c r="K28" s="21">
        <f>IF(J28="", "", IF(J28+1 &lt;= IF(ISNUMBER($D$4), $D$4, DATEVALUE($D$4)), J28+1, ""))</f>
        <v/>
      </c>
      <c r="L28" s="21">
        <f>IF(K28="", "", IF(K28+1 &lt;= IF(ISNUMBER($D$4), $D$4, DATEVALUE($D$4)), K28+1, ""))</f>
        <v/>
      </c>
      <c r="M28" s="21">
        <f>IF(L28="", "", IF(L28+1 &lt;= IF(ISNUMBER($D$4), $D$4, DATEVALUE($D$4)), L28+1, ""))</f>
        <v/>
      </c>
      <c r="N28" s="21">
        <f>IF(M28="", "", IF(M28+1 &lt;= IF(ISNUMBER($D$4), $D$4, DATEVALUE($D$4)), M28+1, ""))</f>
        <v/>
      </c>
      <c r="O28" s="21">
        <f>IF(N28="", "", IF(N28+1 &lt;= IF(ISNUMBER($D$4), $D$4, DATEVALUE($D$4)), N28+1, ""))</f>
        <v/>
      </c>
      <c r="P28" s="21">
        <f>IF(O28="", "", IF(O28+1 &lt;= IF(ISNUMBER($D$4), $D$4, DATEVALUE($D$4)), O28+1, ""))</f>
        <v/>
      </c>
      <c r="Q28" s="21">
        <f>IF(P28="", "", IF(P28+1 &lt;= IF(ISNUMBER($D$4), $D$4, DATEVALUE($D$4)), P28+1, ""))</f>
        <v/>
      </c>
      <c r="R28" s="21">
        <f>IF(Q28="", "", IF(Q28+1 &lt;= IF(ISNUMBER($D$4), $D$4, DATEVALUE($D$4)), Q28+1, ""))</f>
        <v/>
      </c>
      <c r="S28" s="21">
        <f>IF(R28="", "", IF(R28+1 &lt;= IF(ISNUMBER($D$4), $D$4, DATEVALUE($D$4)), R28+1, ""))</f>
        <v/>
      </c>
      <c r="T28" s="21">
        <f>IF(S28="", "", IF(S28+1 &lt;= IF(ISNUMBER($D$4), $D$4, DATEVALUE($D$4)), S28+1, ""))</f>
        <v/>
      </c>
      <c r="U28" s="21">
        <f>IF(T28="", "", IF(T28+1 &lt;= IF(ISNUMBER($D$4), $D$4, DATEVALUE($D$4)), T28+1, ""))</f>
        <v/>
      </c>
      <c r="V28" s="21">
        <f>IF(U28="", "", IF(U28+1 &lt;= IF(ISNUMBER($D$4), $D$4, DATEVALUE($D$4)), U28+1, ""))</f>
        <v/>
      </c>
      <c r="W28" s="21">
        <f>IF(V28="", "", IF(V28+1 &lt;= IF(ISNUMBER($D$4), $D$4, DATEVALUE($D$4)), V28+1, ""))</f>
        <v/>
      </c>
      <c r="X28" s="21">
        <f>IF(W28="", "", IF(W28+1 &lt;= IF(ISNUMBER($D$4), $D$4, DATEVALUE($D$4)), W28+1, ""))</f>
        <v/>
      </c>
      <c r="Y28" s="21">
        <f>IF(X28="", "", IF(X28+1 &lt;= IF(ISNUMBER($D$4), $D$4, DATEVALUE($D$4)), X28+1, ""))</f>
        <v/>
      </c>
      <c r="Z28" s="21">
        <f>IF(Y28="", "", IF(Y28+1 &lt;= IF(ISNUMBER($D$4), $D$4, DATEVALUE($D$4)), Y28+1, ""))</f>
        <v/>
      </c>
      <c r="AA28" s="21">
        <f>IF(Z28="", "", IF(Z28+1 &lt;= IF(ISNUMBER($D$4), $D$4, DATEVALUE($D$4)), Z28+1, ""))</f>
        <v/>
      </c>
      <c r="AB28" s="21">
        <f>IF(AA28="", "", IF(AA28+1 &lt;= IF(ISNUMBER($D$4), $D$4, DATEVALUE($D$4)), AA28+1, ""))</f>
        <v/>
      </c>
      <c r="AC28" s="21">
        <f>IF(AB28="", "", IF(AB28+1 &lt;= IF(ISNUMBER($D$4), $D$4, DATEVALUE($D$4)), AB28+1, ""))</f>
        <v/>
      </c>
      <c r="AD28" s="21">
        <f>IF(AC28="", "", IF(AC28+1 &lt;= IF(ISNUMBER($D$4), $D$4, DATEVALUE($D$4)), AC28+1, ""))</f>
        <v/>
      </c>
      <c r="AE28" s="21">
        <f>IF(AD28="", "", IF(AD28+1 &lt;= IF(ISNUMBER($D$4), $D$4, DATEVALUE($D$4)), AD28+1, ""))</f>
        <v/>
      </c>
      <c r="AF28" s="21">
        <f>IF(AE28="", "", IF(AE28+1 &lt;= IF(ISNUMBER($D$4), $D$4, DATEVALUE($D$4)), AE28+1, ""))</f>
        <v/>
      </c>
      <c r="AG28" s="21">
        <f>IF(AF28="", "", IF(AF28+1 &lt;= IF(ISNUMBER($D$4), $D$4, DATEVALUE($D$4)), AF28+1, ""))</f>
        <v/>
      </c>
      <c r="AH28" s="21">
        <f>IF(AG28="","",IF(AG28+1&lt;=$D$4,AG28+1,""))</f>
        <v/>
      </c>
    </row>
    <row r="29" ht="20" customHeight="1" s="29">
      <c r="A29" s="22">
        <f>A13</f>
        <v/>
      </c>
      <c r="B29" s="23">
        <f>SUMIF(C$28:AG$28, "&lt;&gt;", C29:AG29)</f>
        <v/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 ht="20" customHeight="1" s="29">
      <c r="A30" s="22">
        <f>A14</f>
        <v/>
      </c>
      <c r="B30" s="23">
        <f>SUMIF(C$28:AG$28, "&lt;&gt;", C30:AG30)</f>
        <v/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</row>
    <row r="31" ht="20" customHeight="1" s="29">
      <c r="A31" s="22">
        <f>A15</f>
        <v/>
      </c>
      <c r="B31" s="23">
        <f>SUMIF(C$28:AG$28, "&lt;&gt;", C31:AG31)</f>
        <v/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 ht="20" customHeight="1" s="29">
      <c r="A32" s="22">
        <f>A16</f>
        <v/>
      </c>
      <c r="B32" s="23">
        <f>SUMIF(C$28:AG$28, "&lt;&gt;", C32:AG32)</f>
        <v/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</row>
    <row r="33" ht="20" customHeight="1" s="29">
      <c r="A33" s="22">
        <f>A17</f>
        <v/>
      </c>
      <c r="B33" s="23">
        <f>SUMIF(C$28:AG$28, "&lt;&gt;", C33:AG33)</f>
        <v/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</row>
    <row r="34" ht="20" customHeight="1" s="29">
      <c r="A34" s="22">
        <f>A18</f>
        <v/>
      </c>
      <c r="B34" s="23">
        <f>SUMIF(C$28:AG$28, "&lt;&gt;", C34:AG34)</f>
        <v/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 ht="20" customHeight="1" s="29">
      <c r="A35" s="22">
        <f>A19</f>
        <v/>
      </c>
      <c r="B35" s="23">
        <f>SUMIF(C$28:AG$28, "&lt;&gt;", C35:AG35)</f>
        <v/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 ht="20" customHeight="1" s="29">
      <c r="A36" s="22">
        <f>A20</f>
        <v/>
      </c>
      <c r="B36" s="23">
        <f>SUMIF(C$28:AG$28, "&lt;&gt;", C36:AG36)</f>
        <v/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 ht="20" customHeight="1" s="29">
      <c r="A37" s="22">
        <f>A21</f>
        <v/>
      </c>
      <c r="B37" s="23">
        <f>SUMIF(C$28:AG$28, "&lt;&gt;", C37:AG37)</f>
        <v/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 ht="20" customHeight="1" s="29">
      <c r="A38" s="22">
        <f>A22</f>
        <v/>
      </c>
      <c r="B38" s="23">
        <f>SUMIF(C$28:AG$28, "&lt;&gt;", C38:AG38)</f>
        <v/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 ht="22" customHeight="1" s="29">
      <c r="A39" s="8" t="inlineStr">
        <is>
          <t>Total Present</t>
        </is>
      </c>
      <c r="B39" s="24">
        <f>SUM(B29:B38)</f>
        <v/>
      </c>
      <c r="C39" s="25">
        <f>IF(C$28="","",SUM(C29:C38))</f>
        <v/>
      </c>
      <c r="D39" s="25">
        <f>IF(D$28="","",SUM(D29:D38))</f>
        <v/>
      </c>
      <c r="E39" s="25">
        <f>IF(E$28="","",SUM(E29:E38))</f>
        <v/>
      </c>
      <c r="F39" s="25">
        <f>IF(F$28="","",SUM(F29:F38))</f>
        <v/>
      </c>
      <c r="G39" s="25">
        <f>IF(G$28="","",SUM(G29:G38))</f>
        <v/>
      </c>
      <c r="H39" s="25">
        <f>IF(H$28="","",SUM(H29:H38))</f>
        <v/>
      </c>
      <c r="I39" s="25">
        <f>IF(I$28="","",SUM(I29:I38))</f>
        <v/>
      </c>
      <c r="J39" s="25">
        <f>IF(J$28="","",SUM(J29:J38))</f>
        <v/>
      </c>
      <c r="K39" s="25">
        <f>IF(K$28="","",SUM(K29:K38))</f>
        <v/>
      </c>
      <c r="L39" s="25">
        <f>IF(L$28="","",SUM(L29:L38))</f>
        <v/>
      </c>
      <c r="M39" s="25">
        <f>IF(M$28="","",SUM(M29:M38))</f>
        <v/>
      </c>
      <c r="N39" s="25">
        <f>IF(N$28="","",SUM(N29:N38))</f>
        <v/>
      </c>
      <c r="O39" s="25">
        <f>IF(O$28="","",SUM(O29:O38))</f>
        <v/>
      </c>
      <c r="P39" s="25">
        <f>IF(P$28="","",SUM(P29:P38))</f>
        <v/>
      </c>
      <c r="Q39" s="25">
        <f>IF(Q$28="","",SUM(Q29:Q38))</f>
        <v/>
      </c>
      <c r="R39" s="25">
        <f>IF(R$28="","",SUM(R29:R38))</f>
        <v/>
      </c>
      <c r="S39" s="25">
        <f>IF(S$28="","",SUM(S29:S38))</f>
        <v/>
      </c>
      <c r="T39" s="25">
        <f>IF(T$28="","",SUM(T29:T38))</f>
        <v/>
      </c>
      <c r="U39" s="25">
        <f>IF(U$28="","",SUM(U29:U38))</f>
        <v/>
      </c>
      <c r="V39" s="25">
        <f>IF(V$28="","",SUM(V29:V38))</f>
        <v/>
      </c>
      <c r="W39" s="25">
        <f>IF(W$28="","",SUM(W29:W38))</f>
        <v/>
      </c>
      <c r="X39" s="25">
        <f>IF(X$28="","",SUM(X29:X38))</f>
        <v/>
      </c>
      <c r="Y39" s="25">
        <f>IF(Y$28="","",SUM(Y29:Y38))</f>
        <v/>
      </c>
      <c r="Z39" s="25">
        <f>IF(Z$28="","",SUM(Z29:Z38))</f>
        <v/>
      </c>
      <c r="AA39" s="25">
        <f>IF(AA$28="","",SUM(AA29:AA38))</f>
        <v/>
      </c>
      <c r="AB39" s="25">
        <f>IF(AB$28="","",SUM(AB29:AB38))</f>
        <v/>
      </c>
      <c r="AC39" s="25">
        <f>IF(AC$28="","",SUM(AC29:AC38))</f>
        <v/>
      </c>
      <c r="AD39" s="25">
        <f>IF(AD$28="","",SUM(AD29:AD38))</f>
        <v/>
      </c>
      <c r="AE39" s="25">
        <f>IF(AE$28="","",SUM(AE29:AE38))</f>
        <v/>
      </c>
      <c r="AF39" s="25">
        <f>IF(AF$28="","",SUM(AF29:AF38))</f>
        <v/>
      </c>
      <c r="AG39" s="25">
        <f>IF(AG$28="","",SUM(AG29:AG38))</f>
        <v/>
      </c>
    </row>
    <row r="40" ht="22" customHeight="1" s="29">
      <c r="A40" s="8" t="inlineStr">
        <is>
          <t>PUB Cost per Person/Day</t>
        </is>
      </c>
      <c r="B40" s="26">
        <f>SUM(C40:AG40)</f>
        <v/>
      </c>
      <c r="C40" s="14">
        <f>IF(C$28="", "", IF(C39&gt;0, (C$8 / $F$4) / C39, (C$8 / $F$4) / COUNTA($A$13:$A$22)))</f>
        <v/>
      </c>
      <c r="D40" s="14">
        <f>IF(D$28="", "", IF(D39&gt;0, (C$8 / $F$4) / D39, (C$8 / $F$4) / COUNTA($A$13:$A$22)))</f>
        <v/>
      </c>
      <c r="E40" s="14">
        <f>IF(E$28="", "", IF(E39&gt;0, (C$8 / $F$4) / E39, (C$8 / $F$4) / COUNTA($A$13:$A$22)))</f>
        <v/>
      </c>
      <c r="F40" s="14">
        <f>IF(F$28="", "", IF(F39&gt;0, (C$8 / $F$4) / F39, (C$8 / $F$4) / COUNTA($A$13:$A$22)))</f>
        <v/>
      </c>
      <c r="G40" s="14">
        <f>IF(G$28="", "", IF(G39&gt;0, (C$8 / $F$4) / G39, (C$8 / $F$4) / COUNTA($A$13:$A$22)))</f>
        <v/>
      </c>
      <c r="H40" s="14">
        <f>IF(H$28="", "", IF(H39&gt;0, (C$8 / $F$4) / H39, (C$8 / $F$4) / COUNTA($A$13:$A$22)))</f>
        <v/>
      </c>
      <c r="I40" s="14">
        <f>IF(I$28="", "", IF(I39&gt;0, (C$8 / $F$4) / I39, (C$8 / $F$4) / COUNTA($A$13:$A$22)))</f>
        <v/>
      </c>
      <c r="J40" s="14">
        <f>IF(J$28="", "", IF(J39&gt;0, (C$8 / $F$4) / J39, (C$8 / $F$4) / COUNTA($A$13:$A$22)))</f>
        <v/>
      </c>
      <c r="K40" s="14">
        <f>IF(K$28="", "", IF(K39&gt;0, (C$8 / $F$4) / K39, (C$8 / $F$4) / COUNTA($A$13:$A$22)))</f>
        <v/>
      </c>
      <c r="L40" s="14">
        <f>IF(L$28="", "", IF(L39&gt;0, (C$8 / $F$4) / L39, (C$8 / $F$4) / COUNTA($A$13:$A$22)))</f>
        <v/>
      </c>
      <c r="M40" s="14">
        <f>IF(M$28="", "", IF(M39&gt;0, (C$8 / $F$4) / M39, (C$8 / $F$4) / COUNTA($A$13:$A$22)))</f>
        <v/>
      </c>
      <c r="N40" s="14">
        <f>IF(N$28="", "", IF(N39&gt;0, (C$8 / $F$4) / N39, (C$8 / $F$4) / COUNTA($A$13:$A$22)))</f>
        <v/>
      </c>
      <c r="O40" s="14">
        <f>IF(O$28="", "", IF(O39&gt;0, (C$8 / $F$4) / O39, (C$8 / $F$4) / COUNTA($A$13:$A$22)))</f>
        <v/>
      </c>
      <c r="P40" s="14">
        <f>IF(P$28="", "", IF(P39&gt;0, (C$8 / $F$4) / P39, (C$8 / $F$4) / COUNTA($A$13:$A$22)))</f>
        <v/>
      </c>
      <c r="Q40" s="14">
        <f>IF(Q$28="", "", IF(Q39&gt;0, (C$8 / $F$4) / Q39, (C$8 / $F$4) / COUNTA($A$13:$A$22)))</f>
        <v/>
      </c>
      <c r="R40" s="14">
        <f>IF(R$28="", "", IF(R39&gt;0, (C$8 / $F$4) / R39, (C$8 / $F$4) / COUNTA($A$13:$A$22)))</f>
        <v/>
      </c>
      <c r="S40" s="14">
        <f>IF(S$28="", "", IF(S39&gt;0, (C$8 / $F$4) / S39, (C$8 / $F$4) / COUNTA($A$13:$A$22)))</f>
        <v/>
      </c>
      <c r="T40" s="14">
        <f>IF(T$28="", "", IF(T39&gt;0, (C$8 / $F$4) / T39, (C$8 / $F$4) / COUNTA($A$13:$A$22)))</f>
        <v/>
      </c>
      <c r="U40" s="14">
        <f>IF(U$28="", "", IF(U39&gt;0, (C$8 / $F$4) / U39, (C$8 / $F$4) / COUNTA($A$13:$A$22)))</f>
        <v/>
      </c>
      <c r="V40" s="14">
        <f>IF(V$28="", "", IF(V39&gt;0, (C$8 / $F$4) / V39, (C$8 / $F$4) / COUNTA($A$13:$A$22)))</f>
        <v/>
      </c>
      <c r="W40" s="14">
        <f>IF(W$28="", "", IF(W39&gt;0, (C$8 / $F$4) / W39, (C$8 / $F$4) / COUNTA($A$13:$A$22)))</f>
        <v/>
      </c>
      <c r="X40" s="14">
        <f>IF(X$28="", "", IF(X39&gt;0, (C$8 / $F$4) / X39, (C$8 / $F$4) / COUNTA($A$13:$A$22)))</f>
        <v/>
      </c>
      <c r="Y40" s="14">
        <f>IF(Y$28="", "", IF(Y39&gt;0, (C$8 / $F$4) / Y39, (C$8 / $F$4) / COUNTA($A$13:$A$22)))</f>
        <v/>
      </c>
      <c r="Z40" s="14">
        <f>IF(Z$28="", "", IF(Z39&gt;0, (C$8 / $F$4) / Z39, (C$8 / $F$4) / COUNTA($A$13:$A$22)))</f>
        <v/>
      </c>
      <c r="AA40" s="14">
        <f>IF(AA$28="", "", IF(AA39&gt;0, (C$8 / $F$4) / AA39, (C$8 / $F$4) / COUNTA($A$13:$A$22)))</f>
        <v/>
      </c>
      <c r="AB40" s="14">
        <f>IF(AB$28="", "", IF(AB39&gt;0, (C$8 / $F$4) / AB39, (C$8 / $F$4) / COUNTA($A$13:$A$22)))</f>
        <v/>
      </c>
      <c r="AC40" s="14">
        <f>IF(AC$28="", "", IF(AC39&gt;0, (C$8 / $F$4) / AC39, (C$8 / $F$4) / COUNTA($A$13:$A$22)))</f>
        <v/>
      </c>
      <c r="AD40" s="14">
        <f>IF(AD$28="", "", IF(AD39&gt;0, (C$8 / $F$4) / AD39, (C$8 / $F$4) / COUNTA($A$13:$A$22)))</f>
        <v/>
      </c>
      <c r="AE40" s="14">
        <f>IF(AE$28="", "", IF(AE39&gt;0, (C$8 / $F$4) / AE39, (C$8 / $F$4) / COUNTA($A$13:$A$22)))</f>
        <v/>
      </c>
      <c r="AF40" s="14">
        <f>IF(AF$28="", "", IF(AF39&gt;0, (C$8 / $F$4) / AF39, (C$8 / $F$4) / COUNTA($A$13:$A$22)))</f>
        <v/>
      </c>
      <c r="AG40" s="14">
        <f>IF(AG$28="", "", IF(AG39&gt;0, (C$8 / $F$4) / AG39, (C$8 / $F$4) / COUNTA($A$13:$A$22)))</f>
        <v/>
      </c>
    </row>
    <row r="42" ht="16" customHeight="1" s="29">
      <c r="A42" s="34" t="inlineStr">
        <is>
          <t>HOW TO USE THIS SHEET:</t>
        </is>
      </c>
    </row>
    <row r="43" ht="18" customHeight="1" s="29">
      <c r="A43" s="28" t="inlineStr">
        <is>
          <t>1. Enter Billing Start/End Dates in B4/D4. The billing days calculate automatically.</t>
        </is>
      </c>
    </row>
    <row r="44" ht="18" customHeight="1" s="29">
      <c r="A44" s="28" t="inlineStr">
        <is>
          <t>2. Rename any of the utility headers (C7:F7) as needed (e.g., replace 'Custom 1' with 'Netflix' or 'Gas').</t>
        </is>
      </c>
    </row>
    <row r="45" ht="18" customHeight="1" s="29">
      <c r="A45" s="28" t="inlineStr">
        <is>
          <t>3. Enter the total bill for each utility in the green boxes (C8:F8).</t>
        </is>
      </c>
    </row>
    <row r="46" ht="18" customHeight="1" s="29">
      <c r="A46" s="28" t="inlineStr">
        <is>
          <t>4. Choose split methods in green boxes (C9:F9) - choose 'By Days Present' for variable bills (like PUB), 'Split Equally' for flat bills, or 'Split (Top 3)' to split equally among the first 3 occupants only.</t>
        </is>
      </c>
    </row>
    <row r="47" ht="18" customHeight="1" s="29">
      <c r="A47" s="28" t="inlineStr">
        <is>
          <t>5. Enter occupant names in green boxes A13:A22. They will mirror automatically in the daily tracker.</t>
        </is>
      </c>
    </row>
    <row r="48" ht="18" customHeight="1" s="29">
      <c r="A48" s="28" t="inlineStr">
        <is>
          <t>6. In Section 3 (Daily Occupancy Tracker), enter '1' in the green day columns for each day an occupant is present. Leave blank or enter '0' if they are away.</t>
        </is>
      </c>
    </row>
    <row r="49" ht="18" customHeight="1" s="29">
      <c r="A49" s="28" t="inlineStr">
        <is>
          <t>7. Note: The Day columns in Section 3 link to dates in B4/D4. Changing dates will automatically gray out and disable inactive columns.</t>
        </is>
      </c>
    </row>
    <row r="50" ht="18" customHeight="1" s="29">
      <c r="A50" s="32" t="inlineStr">
        <is>
          <t>💡 Verification status displays '✔ Balanced' when individual shares match the total bill. If some people were away, PUB will show '❌ Unbalanced' to reflect the unallocated vacancy cost of empty days.</t>
        </is>
      </c>
    </row>
  </sheetData>
  <mergeCells count="14">
    <mergeCell ref="A44:G44"/>
    <mergeCell ref="A27:AG27"/>
    <mergeCell ref="A1:G1"/>
    <mergeCell ref="A6:G6"/>
    <mergeCell ref="A50:G50"/>
    <mergeCell ref="A48:G48"/>
    <mergeCell ref="A2:G2"/>
    <mergeCell ref="A42:G42"/>
    <mergeCell ref="A43:G43"/>
    <mergeCell ref="A11:G11"/>
    <mergeCell ref="A49:G49"/>
    <mergeCell ref="A47:G47"/>
    <mergeCell ref="A45:G45"/>
    <mergeCell ref="A46:G46"/>
  </mergeCells>
  <conditionalFormatting sqref="C28:AG40">
    <cfRule type="expression" priority="1" dxfId="0" stopIfTrue="1">
      <formula>C$28=""</formula>
    </cfRule>
  </conditionalFormatting>
  <dataValidations count="1">
    <dataValidation sqref="C9:F9" showDropDown="0" showInputMessage="0" showErrorMessage="0" allowBlank="0" errorTitle="Invalid Entry" error="Your entry is not in the list" promptTitle="Split Method" prompt="Please select a split method" type="list">
      <formula1>"By Days Present,Split Equally,Split (Top 3)"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0"/>
  <sheetViews>
    <sheetView workbookViewId="0">
      <selection activeCell="A1" sqref="A1"/>
    </sheetView>
  </sheetViews>
  <sheetFormatPr baseColWidth="10" defaultColWidth="8.83203125" defaultRowHeight="15"/>
  <cols>
    <col width="24" customWidth="1" style="29" min="1" max="1"/>
    <col width="16" customWidth="1" style="29" min="2" max="2"/>
    <col width="6" customWidth="1" style="29" min="3" max="33"/>
  </cols>
  <sheetData>
    <row r="1" ht="30" customHeight="1" s="29">
      <c r="A1" s="30" t="inlineStr">
        <is>
          <t>HOUSEHOLD UTILITY BILL CALCULATOR - JANUARY 2027</t>
        </is>
      </c>
    </row>
    <row r="2" ht="20" customHeight="1" s="29">
      <c r="A2" s="33" t="inlineStr">
        <is>
          <t>Distribute shared bills dynamically by days present or equal split. Edit the green shaded cells; formulas do the rest.</t>
        </is>
      </c>
    </row>
    <row r="4" ht="22" customHeight="1" s="29">
      <c r="A4" s="34" t="inlineStr">
        <is>
          <t>Billing Start Date:</t>
        </is>
      </c>
      <c r="B4" s="35" t="n">
        <v>46388</v>
      </c>
      <c r="C4" s="34" t="inlineStr">
        <is>
          <t>Billing End Date:</t>
        </is>
      </c>
      <c r="D4" s="35" t="n">
        <v>46418</v>
      </c>
      <c r="E4" s="34" t="inlineStr">
        <is>
          <t>Billing Period Days:</t>
        </is>
      </c>
      <c r="F4" s="3">
        <f>IF(AND($B$4&lt;&gt;"", $D$4&lt;&gt;""), IF(ISNUMBER($D$4), $D$4, DATEVALUE($D$4)) - IF(ISNUMBER($B$4), $B$4, DATEVALUE($B$4)) + 1, "")</f>
        <v/>
      </c>
    </row>
    <row r="6" ht="24" customHeight="1" s="29">
      <c r="A6" s="31" t="inlineStr">
        <is>
          <t>1. UTILITY CONFIGURATION</t>
        </is>
      </c>
    </row>
    <row r="7" ht="25" customHeight="1" s="29">
      <c r="A7" s="4" t="inlineStr">
        <is>
          <t>Utility Item</t>
        </is>
      </c>
      <c r="B7" s="5" t="inlineStr">
        <is>
          <t>Label Description</t>
        </is>
      </c>
      <c r="C7" s="6" t="inlineStr">
        <is>
          <t>PUB</t>
        </is>
      </c>
      <c r="D7" s="6" t="inlineStr">
        <is>
          <t>Internet</t>
        </is>
      </c>
      <c r="E7" s="6" t="inlineStr">
        <is>
          <t>Custom 1</t>
        </is>
      </c>
      <c r="F7" s="6" t="inlineStr">
        <is>
          <t>Custom 2</t>
        </is>
      </c>
      <c r="G7" s="7" t="inlineStr">
        <is>
          <t>TOTAL BILL</t>
        </is>
      </c>
    </row>
    <row r="8" ht="22" customHeight="1" s="29">
      <c r="A8" s="8" t="inlineStr">
        <is>
          <t>Total Bill Amount</t>
        </is>
      </c>
      <c r="B8" s="5" t="inlineStr">
        <is>
          <t>Enter costs -&gt;</t>
        </is>
      </c>
      <c r="C8" s="9" t="n">
        <v>150</v>
      </c>
      <c r="D8" s="9" t="n">
        <v>43.7</v>
      </c>
      <c r="E8" s="9" t="n">
        <v>0</v>
      </c>
      <c r="F8" s="9" t="n">
        <v>0</v>
      </c>
      <c r="G8" s="10">
        <f>SUM(C8:F8)</f>
        <v/>
      </c>
    </row>
    <row r="9" ht="22" customHeight="1" s="29">
      <c r="A9" s="8" t="inlineStr">
        <is>
          <t>Split Method</t>
        </is>
      </c>
      <c r="B9" s="5" t="inlineStr">
        <is>
          <t>Choose method -&gt;</t>
        </is>
      </c>
      <c r="C9" s="2" t="inlineStr">
        <is>
          <t>By Days Present</t>
        </is>
      </c>
      <c r="D9" s="2" t="inlineStr">
        <is>
          <t>Split (Top 3)</t>
        </is>
      </c>
      <c r="E9" s="2" t="inlineStr">
        <is>
          <t>Split Equally</t>
        </is>
      </c>
      <c r="F9" s="2" t="inlineStr">
        <is>
          <t>Split Equally</t>
        </is>
      </c>
      <c r="G9" s="11" t="n"/>
    </row>
    <row r="11" ht="24" customHeight="1" s="29">
      <c r="A11" s="31" t="inlineStr">
        <is>
          <t>2. OCCUPANT DETAIL &amp; BILL DIVISION</t>
        </is>
      </c>
    </row>
    <row r="12" ht="25" customHeight="1" s="29">
      <c r="A12" s="4" t="inlineStr">
        <is>
          <t>Occupant Name</t>
        </is>
      </c>
      <c r="B12" s="6" t="inlineStr">
        <is>
          <t>Days Present</t>
        </is>
      </c>
      <c r="C12" s="6" t="inlineStr">
        <is>
          <t>PUB Share</t>
        </is>
      </c>
      <c r="D12" s="6" t="inlineStr">
        <is>
          <t>Internet Share</t>
        </is>
      </c>
      <c r="E12" s="6" t="inlineStr">
        <is>
          <t>Custom 1</t>
        </is>
      </c>
      <c r="F12" s="6" t="inlineStr">
        <is>
          <t>Custom 2</t>
        </is>
      </c>
      <c r="G12" s="7" t="inlineStr">
        <is>
          <t>Total Owed</t>
        </is>
      </c>
    </row>
    <row r="13" ht="20" customHeight="1" s="29">
      <c r="A13" s="12" t="inlineStr">
        <is>
          <t>Alex</t>
        </is>
      </c>
      <c r="B13" s="13">
        <f>B29</f>
        <v/>
      </c>
      <c r="C13" s="14">
        <f>IF(ISBLANK($A13), "", IFERROR(IF(C$9="By Days Present", SUMPRODUCT((C$39:AG$39=0) + C29:AG29*(C$39:AG$39&gt;0), C$40:AG$40), IF(C$9="Split Equally", C$8 / COUNTA($A$13:$A$22), IF(C$9="Split (Top 3)", IF(ROW()&lt;=15, C$8 / 3, 0), 0))), 0))</f>
        <v/>
      </c>
      <c r="D13" s="14">
        <f>IF(ISBLANK($A13), "", IFERROR(IF(D$9="By Days Present", SUMPRODUCT(((C$39:AG$39=0)/COUNTA($A$13:$A$22) + (C29:AG29/(C$39:AG$39 + (C$39:AG$39=0)))*(C$39:AG$39&gt;0)), (C$28:AG$28&lt;&gt;"") * (D$8 / $F$4)), IF(D$9="Split Equally", D$8 / COUNTA($A$13:$A$22), IF(D$9="Split (Top 3)", IF(ROW()&lt;=15, D$8 / 3, 0), 0))), 0))</f>
        <v/>
      </c>
      <c r="E13" s="14">
        <f>IF(ISBLANK($A13), "", IFERROR(IF(E$9="By Days Present", SUMPRODUCT(((C$39:AG$39=0)/COUNTA($A$13:$A$22) + (C29:AG29/(C$39:AG$39 + (C$39:AG$39=0)))*(C$39:AG$39&gt;0)), (C$28:AG$28&lt;&gt;"") * (E$8 / $F$4)), IF(E$9="Split Equally", E$8 / COUNTA($A$13:$A$22), IF(E$9="Split (Top 3)", IF(ROW()&lt;=15, E$8 / 3, 0), 0))), 0))</f>
        <v/>
      </c>
      <c r="F13" s="14">
        <f>IF(ISBLANK($A13), "", IFERROR(IF(F$9="By Days Present", SUMPRODUCT(((C$39:AG$39=0)/COUNTA($A$13:$A$22) + (C29:AG29/(C$39:AG$39 + (C$39:AG$39=0)))*(C$39:AG$39&gt;0)), (C$28:AG$28&lt;&gt;"") * (F$8 / $F$4)), IF(F$9="Split Equally", F$8 / COUNTA($A$13:$A$22), IF(F$9="Split (Top 3)", IF(ROW()&lt;=15, F$8 / 3, 0), 0))), 0))</f>
        <v/>
      </c>
      <c r="G13" s="10">
        <f>IF(ISBLANK($A13), "", SUM(C13:F13))</f>
        <v/>
      </c>
    </row>
    <row r="14" ht="20" customHeight="1" s="29">
      <c r="A14" s="12" t="inlineStr">
        <is>
          <t>Jordan</t>
        </is>
      </c>
      <c r="B14" s="13">
        <f>B30</f>
        <v/>
      </c>
      <c r="C14" s="15">
        <f>IF(ISBLANK($A14), "", IFERROR(IF(C$9="By Days Present", SUMPRODUCT((C$39:AG$39=0) + C30:AG30*(C$39:AG$39&gt;0), C$40:AG$40), IF(C$9="Split Equally", C$8 / COUNTA($A$13:$A$22), IF(C$9="Split (Top 3)", IF(ROW()&lt;=15, C$8 / 3, 0), 0))), 0))</f>
        <v/>
      </c>
      <c r="D14" s="15">
        <f>IF(ISBLANK($A14), "", IFERROR(IF(D$9="By Days Present", SUMPRODUCT(((C$39:AG$39=0)/COUNTA($A$13:$A$22) + (C30:AG30/(C$39:AG$39 + (C$39:AG$39=0)))*(C$39:AG$39&gt;0)), (C$28:AG$28&lt;&gt;"") * (D$8 / $F$4)), IF(D$9="Split Equally", D$8 / COUNTA($A$13:$A$22), IF(D$9="Split (Top 3)", IF(ROW()&lt;=15, D$8 / 3, 0), 0))), 0))</f>
        <v/>
      </c>
      <c r="E14" s="15">
        <f>IF(ISBLANK($A14), "", IFERROR(IF(E$9="By Days Present", SUMPRODUCT(((C$39:AG$39=0)/COUNTA($A$13:$A$22) + (C30:AG30/(C$39:AG$39 + (C$39:AG$39=0)))*(C$39:AG$39&gt;0)), (C$28:AG$28&lt;&gt;"") * (E$8 / $F$4)), IF(E$9="Split Equally", E$8 / COUNTA($A$13:$A$22), IF(E$9="Split (Top 3)", IF(ROW()&lt;=15, E$8 / 3, 0), 0))), 0))</f>
        <v/>
      </c>
      <c r="F14" s="15">
        <f>IF(ISBLANK($A14), "", IFERROR(IF(F$9="By Days Present", SUMPRODUCT(((C$39:AG$39=0)/COUNTA($A$13:$A$22) + (C30:AG30/(C$39:AG$39 + (C$39:AG$39=0)))*(C$39:AG$39&gt;0)), (C$28:AG$28&lt;&gt;"") * (F$8 / $F$4)), IF(F$9="Split Equally", F$8 / COUNTA($A$13:$A$22), IF(F$9="Split (Top 3)", IF(ROW()&lt;=15, F$8 / 3, 0), 0))), 0))</f>
        <v/>
      </c>
      <c r="G14" s="10">
        <f>IF(ISBLANK($A14), "", SUM(C14:F14))</f>
        <v/>
      </c>
    </row>
    <row r="15" ht="20" customHeight="1" s="29">
      <c r="A15" s="12" t="inlineStr">
        <is>
          <t>Morgan</t>
        </is>
      </c>
      <c r="B15" s="13">
        <f>B31</f>
        <v/>
      </c>
      <c r="C15" s="14">
        <f>IF(ISBLANK($A15), "", IFERROR(IF(C$9="By Days Present", SUMPRODUCT((C$39:AG$39=0) + C31:AG31*(C$39:AG$39&gt;0), C$40:AG$40), IF(C$9="Split Equally", C$8 / COUNTA($A$13:$A$22), IF(C$9="Split (Top 3)", IF(ROW()&lt;=15, C$8 / 3, 0), 0))), 0))</f>
        <v/>
      </c>
      <c r="D15" s="14">
        <f>IF(ISBLANK($A15), "", IFERROR(IF(D$9="By Days Present", SUMPRODUCT(((C$39:AG$39=0)/COUNTA($A$13:$A$22) + (C31:AG31/(C$39:AG$39 + (C$39:AG$39=0)))*(C$39:AG$39&gt;0)), (C$28:AG$28&lt;&gt;"") * (D$8 / $F$4)), IF(D$9="Split Equally", D$8 / COUNTA($A$13:$A$22), IF(D$9="Split (Top 3)", IF(ROW()&lt;=15, D$8 / 3, 0), 0))), 0))</f>
        <v/>
      </c>
      <c r="E15" s="14">
        <f>IF(ISBLANK($A15), "", IFERROR(IF(E$9="By Days Present", SUMPRODUCT(((C$39:AG$39=0)/COUNTA($A$13:$A$22) + (C31:AG31/(C$39:AG$39 + (C$39:AG$39=0)))*(C$39:AG$39&gt;0)), (C$28:AG$28&lt;&gt;"") * (E$8 / $F$4)), IF(E$9="Split Equally", E$8 / COUNTA($A$13:$A$22), IF(E$9="Split (Top 3)", IF(ROW()&lt;=15, E$8 / 3, 0), 0))), 0))</f>
        <v/>
      </c>
      <c r="F15" s="14">
        <f>IF(ISBLANK($A15), "", IFERROR(IF(F$9="By Days Present", SUMPRODUCT(((C$39:AG$39=0)/COUNTA($A$13:$A$22) + (C31:AG31/(C$39:AG$39 + (C$39:AG$39=0)))*(C$39:AG$39&gt;0)), (C$28:AG$28&lt;&gt;"") * (F$8 / $F$4)), IF(F$9="Split Equally", F$8 / COUNTA($A$13:$A$22), IF(F$9="Split (Top 3)", IF(ROW()&lt;=15, F$8 / 3, 0), 0))), 0))</f>
        <v/>
      </c>
      <c r="G15" s="10">
        <f>IF(ISBLANK($A15), "", SUM(C15:F15))</f>
        <v/>
      </c>
    </row>
    <row r="16" ht="20" customHeight="1" s="29">
      <c r="A16" s="12" t="inlineStr">
        <is>
          <t>Taylor</t>
        </is>
      </c>
      <c r="B16" s="13">
        <f>B32</f>
        <v/>
      </c>
      <c r="C16" s="15">
        <f>IF(ISBLANK($A16), "", IFERROR(IF(C$9="By Days Present", SUMPRODUCT((C$39:AG$39=0) + C32:AG32*(C$39:AG$39&gt;0), C$40:AG$40), IF(C$9="Split Equally", C$8 / COUNTA($A$13:$A$22), IF(C$9="Split (Top 3)", IF(ROW()&lt;=15, C$8 / 3, 0), 0))), 0))</f>
        <v/>
      </c>
      <c r="D16" s="15">
        <f>IF(ISBLANK($A16), "", IFERROR(IF(D$9="By Days Present", SUMPRODUCT(((C$39:AG$39=0)/COUNTA($A$13:$A$22) + (C32:AG32/(C$39:AG$39 + (C$39:AG$39=0)))*(C$39:AG$39&gt;0)), (C$28:AG$28&lt;&gt;"") * (D$8 / $F$4)), IF(D$9="Split Equally", D$8 / COUNTA($A$13:$A$22), IF(D$9="Split (Top 3)", IF(ROW()&lt;=15, D$8 / 3, 0), 0))), 0))</f>
        <v/>
      </c>
      <c r="E16" s="15">
        <f>IF(ISBLANK($A16), "", IFERROR(IF(E$9="By Days Present", SUMPRODUCT(((C$39:AG$39=0)/COUNTA($A$13:$A$22) + (C32:AG32/(C$39:AG$39 + (C$39:AG$39=0)))*(C$39:AG$39&gt;0)), (C$28:AG$28&lt;&gt;"") * (E$8 / $F$4)), IF(E$9="Split Equally", E$8 / COUNTA($A$13:$A$22), IF(E$9="Split (Top 3)", IF(ROW()&lt;=15, E$8 / 3, 0), 0))), 0))</f>
        <v/>
      </c>
      <c r="F16" s="15">
        <f>IF(ISBLANK($A16), "", IFERROR(IF(F$9="By Days Present", SUMPRODUCT(((C$39:AG$39=0)/COUNTA($A$13:$A$22) + (C32:AG32/(C$39:AG$39 + (C$39:AG$39=0)))*(C$39:AG$39&gt;0)), (C$28:AG$28&lt;&gt;"") * (F$8 / $F$4)), IF(F$9="Split Equally", F$8 / COUNTA($A$13:$A$22), IF(F$9="Split (Top 3)", IF(ROW()&lt;=15, F$8 / 3, 0), 0))), 0))</f>
        <v/>
      </c>
      <c r="G16" s="10">
        <f>IF(ISBLANK($A16), "", SUM(C16:F16))</f>
        <v/>
      </c>
    </row>
    <row r="17" ht="20" customHeight="1" s="29">
      <c r="A17" s="12" t="n"/>
      <c r="B17" s="13">
        <f>B33</f>
        <v/>
      </c>
      <c r="C17" s="14">
        <f>IF(ISBLANK($A17), "", IFERROR(IF(C$9="By Days Present", SUMPRODUCT((C$39:AG$39=0) + C33:AG33*(C$39:AG$39&gt;0), C$40:AG$40), IF(C$9="Split Equally", C$8 / COUNTA($A$13:$A$22), IF(C$9="Split (Top 3)", IF(ROW()&lt;=15, C$8 / 3, 0), 0))), 0))</f>
        <v/>
      </c>
      <c r="D17" s="14">
        <f>IF(ISBLANK($A17), "", IFERROR(IF(D$9="By Days Present", SUMPRODUCT(((C$39:AG$39=0)/COUNTA($A$13:$A$22) + (C33:AG33/(C$39:AG$39 + (C$39:AG$39=0)))*(C$39:AG$39&gt;0)), (C$28:AG$28&lt;&gt;"") * (D$8 / $F$4)), IF(D$9="Split Equally", D$8 / COUNTA($A$13:$A$22), IF(D$9="Split (Top 3)", IF(ROW()&lt;=15, D$8 / 3, 0), 0))), 0))</f>
        <v/>
      </c>
      <c r="E17" s="14">
        <f>IF(ISBLANK($A17), "", IFERROR(IF(E$9="By Days Present", SUMPRODUCT(((C$39:AG$39=0)/COUNTA($A$13:$A$22) + (C33:AG33/(C$39:AG$39 + (C$39:AG$39=0)))*(C$39:AG$39&gt;0)), (C$28:AG$28&lt;&gt;"") * (E$8 / $F$4)), IF(E$9="Split Equally", E$8 / COUNTA($A$13:$A$22), IF(E$9="Split (Top 3)", IF(ROW()&lt;=15, E$8 / 3, 0), 0))), 0))</f>
        <v/>
      </c>
      <c r="F17" s="14">
        <f>IF(ISBLANK($A17), "", IFERROR(IF(F$9="By Days Present", SUMPRODUCT(((C$39:AG$39=0)/COUNTA($A$13:$A$22) + (C33:AG33/(C$39:AG$39 + (C$39:AG$39=0)))*(C$39:AG$39&gt;0)), (C$28:AG$28&lt;&gt;"") * (F$8 / $F$4)), IF(F$9="Split Equally", F$8 / COUNTA($A$13:$A$22), IF(F$9="Split (Top 3)", IF(ROW()&lt;=15, F$8 / 3, 0), 0))), 0))</f>
        <v/>
      </c>
      <c r="G17" s="10">
        <f>IF(ISBLANK($A17), "", SUM(C17:F17))</f>
        <v/>
      </c>
    </row>
    <row r="18" ht="20" customHeight="1" s="29">
      <c r="A18" s="12" t="n"/>
      <c r="B18" s="13">
        <f>B34</f>
        <v/>
      </c>
      <c r="C18" s="15">
        <f>IF(ISBLANK($A18), "", IFERROR(IF(C$9="By Days Present", SUMPRODUCT((C$39:AG$39=0) + C34:AG34*(C$39:AG$39&gt;0), C$40:AG$40), IF(C$9="Split Equally", C$8 / COUNTA($A$13:$A$22), IF(C$9="Split (Top 3)", IF(ROW()&lt;=15, C$8 / 3, 0), 0))), 0))</f>
        <v/>
      </c>
      <c r="D18" s="15">
        <f>IF(ISBLANK($A18), "", IFERROR(IF(D$9="By Days Present", SUMPRODUCT(((C$39:AG$39=0)/COUNTA($A$13:$A$22) + (C34:AG34/(C$39:AG$39 + (C$39:AG$39=0)))*(C$39:AG$39&gt;0)), (C$28:AG$28&lt;&gt;"") * (D$8 / $F$4)), IF(D$9="Split Equally", D$8 / COUNTA($A$13:$A$22), IF(D$9="Split (Top 3)", IF(ROW()&lt;=15, D$8 / 3, 0), 0))), 0))</f>
        <v/>
      </c>
      <c r="E18" s="15">
        <f>IF(ISBLANK($A18), "", IFERROR(IF(E$9="By Days Present", SUMPRODUCT(((C$39:AG$39=0)/COUNTA($A$13:$A$22) + (C34:AG34/(C$39:AG$39 + (C$39:AG$39=0)))*(C$39:AG$39&gt;0)), (C$28:AG$28&lt;&gt;"") * (E$8 / $F$4)), IF(E$9="Split Equally", E$8 / COUNTA($A$13:$A$22), IF(E$9="Split (Top 3)", IF(ROW()&lt;=15, E$8 / 3, 0), 0))), 0))</f>
        <v/>
      </c>
      <c r="F18" s="15">
        <f>IF(ISBLANK($A18), "", IFERROR(IF(F$9="By Days Present", SUMPRODUCT(((C$39:AG$39=0)/COUNTA($A$13:$A$22) + (C34:AG34/(C$39:AG$39 + (C$39:AG$39=0)))*(C$39:AG$39&gt;0)), (C$28:AG$28&lt;&gt;"") * (F$8 / $F$4)), IF(F$9="Split Equally", F$8 / COUNTA($A$13:$A$22), IF(F$9="Split (Top 3)", IF(ROW()&lt;=15, F$8 / 3, 0), 0))), 0))</f>
        <v/>
      </c>
      <c r="G18" s="10">
        <f>IF(ISBLANK($A18), "", SUM(C18:F18))</f>
        <v/>
      </c>
    </row>
    <row r="19" ht="20" customHeight="1" s="29">
      <c r="A19" s="12" t="n"/>
      <c r="B19" s="13">
        <f>B35</f>
        <v/>
      </c>
      <c r="C19" s="14">
        <f>IF(ISBLANK($A19), "", IFERROR(IF(C$9="By Days Present", SUMPRODUCT((C$39:AG$39=0) + C35:AG35*(C$39:AG$39&gt;0), C$40:AG$40), IF(C$9="Split Equally", C$8 / COUNTA($A$13:$A$22), IF(C$9="Split (Top 3)", IF(ROW()&lt;=15, C$8 / 3, 0), 0))), 0))</f>
        <v/>
      </c>
      <c r="D19" s="14">
        <f>IF(ISBLANK($A19), "", IFERROR(IF(D$9="By Days Present", SUMPRODUCT(((C$39:AG$39=0)/COUNTA($A$13:$A$22) + (C35:AG35/(C$39:AG$39 + (C$39:AG$39=0)))*(C$39:AG$39&gt;0)), (C$28:AG$28&lt;&gt;"") * (D$8 / $F$4)), IF(D$9="Split Equally", D$8 / COUNTA($A$13:$A$22), IF(D$9="Split (Top 3)", IF(ROW()&lt;=15, D$8 / 3, 0), 0))), 0))</f>
        <v/>
      </c>
      <c r="E19" s="14">
        <f>IF(ISBLANK($A19), "", IFERROR(IF(E$9="By Days Present", SUMPRODUCT(((C$39:AG$39=0)/COUNTA($A$13:$A$22) + (C35:AG35/(C$39:AG$39 + (C$39:AG$39=0)))*(C$39:AG$39&gt;0)), (C$28:AG$28&lt;&gt;"") * (E$8 / $F$4)), IF(E$9="Split Equally", E$8 / COUNTA($A$13:$A$22), IF(E$9="Split (Top 3)", IF(ROW()&lt;=15, E$8 / 3, 0), 0))), 0))</f>
        <v/>
      </c>
      <c r="F19" s="14">
        <f>IF(ISBLANK($A19), "", IFERROR(IF(F$9="By Days Present", SUMPRODUCT(((C$39:AG$39=0)/COUNTA($A$13:$A$22) + (C35:AG35/(C$39:AG$39 + (C$39:AG$39=0)))*(C$39:AG$39&gt;0)), (C$28:AG$28&lt;&gt;"") * (F$8 / $F$4)), IF(F$9="Split Equally", F$8 / COUNTA($A$13:$A$22), IF(F$9="Split (Top 3)", IF(ROW()&lt;=15, F$8 / 3, 0), 0))), 0))</f>
        <v/>
      </c>
      <c r="G19" s="10">
        <f>IF(ISBLANK($A19), "", SUM(C19:F19))</f>
        <v/>
      </c>
    </row>
    <row r="20" ht="20" customHeight="1" s="29">
      <c r="A20" s="12" t="n"/>
      <c r="B20" s="13">
        <f>B36</f>
        <v/>
      </c>
      <c r="C20" s="15">
        <f>IF(ISBLANK($A20), "", IFERROR(IF(C$9="By Days Present", SUMPRODUCT((C$39:AG$39=0) + C36:AG36*(C$39:AG$39&gt;0), C$40:AG$40), IF(C$9="Split Equally", C$8 / COUNTA($A$13:$A$22), IF(C$9="Split (Top 3)", IF(ROW()&lt;=15, C$8 / 3, 0), 0))), 0))</f>
        <v/>
      </c>
      <c r="D20" s="15">
        <f>IF(ISBLANK($A20), "", IFERROR(IF(D$9="By Days Present", SUMPRODUCT(((C$39:AG$39=0)/COUNTA($A$13:$A$22) + (C36:AG36/(C$39:AG$39 + (C$39:AG$39=0)))*(C$39:AG$39&gt;0)), (C$28:AG$28&lt;&gt;"") * (D$8 / $F$4)), IF(D$9="Split Equally", D$8 / COUNTA($A$13:$A$22), IF(D$9="Split (Top 3)", IF(ROW()&lt;=15, D$8 / 3, 0), 0))), 0))</f>
        <v/>
      </c>
      <c r="E20" s="15">
        <f>IF(ISBLANK($A20), "", IFERROR(IF(E$9="By Days Present", SUMPRODUCT(((C$39:AG$39=0)/COUNTA($A$13:$A$22) + (C36:AG36/(C$39:AG$39 + (C$39:AG$39=0)))*(C$39:AG$39&gt;0)), (C$28:AG$28&lt;&gt;"") * (E$8 / $F$4)), IF(E$9="Split Equally", E$8 / COUNTA($A$13:$A$22), IF(E$9="Split (Top 3)", IF(ROW()&lt;=15, E$8 / 3, 0), 0))), 0))</f>
        <v/>
      </c>
      <c r="F20" s="15">
        <f>IF(ISBLANK($A20), "", IFERROR(IF(F$9="By Days Present", SUMPRODUCT(((C$39:AG$39=0)/COUNTA($A$13:$A$22) + (C36:AG36/(C$39:AG$39 + (C$39:AG$39=0)))*(C$39:AG$39&gt;0)), (C$28:AG$28&lt;&gt;"") * (F$8 / $F$4)), IF(F$9="Split Equally", F$8 / COUNTA($A$13:$A$22), IF(F$9="Split (Top 3)", IF(ROW()&lt;=15, F$8 / 3, 0), 0))), 0))</f>
        <v/>
      </c>
      <c r="G20" s="10">
        <f>IF(ISBLANK($A20), "", SUM(C20:F20))</f>
        <v/>
      </c>
    </row>
    <row r="21" ht="20" customHeight="1" s="29">
      <c r="A21" s="12" t="n"/>
      <c r="B21" s="13">
        <f>B37</f>
        <v/>
      </c>
      <c r="C21" s="14">
        <f>IF(ISBLANK($A21), "", IFERROR(IF(C$9="By Days Present", SUMPRODUCT((C$39:AG$39=0) + C37:AG37*(C$39:AG$39&gt;0), C$40:AG$40), IF(C$9="Split Equally", C$8 / COUNTA($A$13:$A$22), IF(C$9="Split (Top 3)", IF(ROW()&lt;=15, C$8 / 3, 0), 0))), 0))</f>
        <v/>
      </c>
      <c r="D21" s="14">
        <f>IF(ISBLANK($A21), "", IFERROR(IF(D$9="By Days Present", SUMPRODUCT(((C$39:AG$39=0)/COUNTA($A$13:$A$22) + (C37:AG37/(C$39:AG$39 + (C$39:AG$39=0)))*(C$39:AG$39&gt;0)), (C$28:AG$28&lt;&gt;"") * (D$8 / $F$4)), IF(D$9="Split Equally", D$8 / COUNTA($A$13:$A$22), IF(D$9="Split (Top 3)", IF(ROW()&lt;=15, D$8 / 3, 0), 0))), 0))</f>
        <v/>
      </c>
      <c r="E21" s="14">
        <f>IF(ISBLANK($A21), "", IFERROR(IF(E$9="By Days Present", SUMPRODUCT(((C$39:AG$39=0)/COUNTA($A$13:$A$22) + (C37:AG37/(C$39:AG$39 + (C$39:AG$39=0)))*(C$39:AG$39&gt;0)), (C$28:AG$28&lt;&gt;"") * (E$8 / $F$4)), IF(E$9="Split Equally", E$8 / COUNTA($A$13:$A$22), IF(E$9="Split (Top 3)", IF(ROW()&lt;=15, E$8 / 3, 0), 0))), 0))</f>
        <v/>
      </c>
      <c r="F21" s="14">
        <f>IF(ISBLANK($A21), "", IFERROR(IF(F$9="By Days Present", SUMPRODUCT(((C$39:AG$39=0)/COUNTA($A$13:$A$22) + (C37:AG37/(C$39:AG$39 + (C$39:AG$39=0)))*(C$39:AG$39&gt;0)), (C$28:AG$28&lt;&gt;"") * (F$8 / $F$4)), IF(F$9="Split Equally", F$8 / COUNTA($A$13:$A$22), IF(F$9="Split (Top 3)", IF(ROW()&lt;=15, F$8 / 3, 0), 0))), 0))</f>
        <v/>
      </c>
      <c r="G21" s="10">
        <f>IF(ISBLANK($A21), "", SUM(C21:F21))</f>
        <v/>
      </c>
    </row>
    <row r="22" ht="20" customHeight="1" s="29">
      <c r="A22" s="12" t="n"/>
      <c r="B22" s="13">
        <f>B38</f>
        <v/>
      </c>
      <c r="C22" s="15">
        <f>IF(ISBLANK($A22), "", IFERROR(IF(C$9="By Days Present", SUMPRODUCT((C$39:AG$39=0) + C38:AG38*(C$39:AG$39&gt;0), C$40:AG$40), IF(C$9="Split Equally", C$8 / COUNTA($A$13:$A$22), IF(C$9="Split (Top 3)", IF(ROW()&lt;=15, C$8 / 3, 0), 0))), 0))</f>
        <v/>
      </c>
      <c r="D22" s="15">
        <f>IF(ISBLANK($A22), "", IFERROR(IF(D$9="By Days Present", SUMPRODUCT(((C$39:AG$39=0)/COUNTA($A$13:$A$22) + (C38:AG38/(C$39:AG$39 + (C$39:AG$39=0)))*(C$39:AG$39&gt;0)), (C$28:AG$28&lt;&gt;"") * (D$8 / $F$4)), IF(D$9="Split Equally", D$8 / COUNTA($A$13:$A$22), IF(D$9="Split (Top 3)", IF(ROW()&lt;=15, D$8 / 3, 0), 0))), 0))</f>
        <v/>
      </c>
      <c r="E22" s="15">
        <f>IF(ISBLANK($A22), "", IFERROR(IF(E$9="By Days Present", SUMPRODUCT(((C$39:AG$39=0)/COUNTA($A$13:$A$22) + (C38:AG38/(C$39:AG$39 + (C$39:AG$39=0)))*(C$39:AG$39&gt;0)), (C$28:AG$28&lt;&gt;"") * (E$8 / $F$4)), IF(E$9="Split Equally", E$8 / COUNTA($A$13:$A$22), IF(E$9="Split (Top 3)", IF(ROW()&lt;=15, E$8 / 3, 0), 0))), 0))</f>
        <v/>
      </c>
      <c r="F22" s="15">
        <f>IF(ISBLANK($A22), "", IFERROR(IF(F$9="By Days Present", SUMPRODUCT(((C$39:AG$39=0)/COUNTA($A$13:$A$22) + (C38:AG38/(C$39:AG$39 + (C$39:AG$39=0)))*(C$39:AG$39&gt;0)), (C$28:AG$28&lt;&gt;"") * (F$8 / $F$4)), IF(F$9="Split Equally", F$8 / COUNTA($A$13:$A$22), IF(F$9="Split (Top 3)", IF(ROW()&lt;=15, F$8 / 3, 0), 0))), 0))</f>
        <v/>
      </c>
      <c r="G22" s="10">
        <f>IF(ISBLANK($A22), "", SUM(C22:F22))</f>
        <v/>
      </c>
    </row>
    <row r="23" ht="22" customHeight="1" s="29">
      <c r="A23" s="16" t="inlineStr">
        <is>
          <t>Total Allocated Share</t>
        </is>
      </c>
      <c r="B23" s="17">
        <f>SUM(B13:B22)</f>
        <v/>
      </c>
      <c r="C23" s="18">
        <f>SUM(C13:C22)</f>
        <v/>
      </c>
      <c r="D23" s="18">
        <f>SUM(D13:D22)</f>
        <v/>
      </c>
      <c r="E23" s="18">
        <f>SUM(E13:E22)</f>
        <v/>
      </c>
      <c r="F23" s="18">
        <f>SUM(F13:F22)</f>
        <v/>
      </c>
      <c r="G23" s="18">
        <f>SUM(G13:G22)</f>
        <v/>
      </c>
    </row>
    <row r="24" ht="22" customHeight="1" s="29">
      <c r="A24" s="8" t="inlineStr">
        <is>
          <t>Actual Total Bill Amount</t>
        </is>
      </c>
      <c r="B24" s="11" t="n"/>
      <c r="C24" s="14">
        <f>C8</f>
        <v/>
      </c>
      <c r="D24" s="14">
        <f>D8</f>
        <v/>
      </c>
      <c r="E24" s="14">
        <f>E8</f>
        <v/>
      </c>
      <c r="F24" s="14">
        <f>F8</f>
        <v/>
      </c>
      <c r="G24" s="19">
        <f>G8</f>
        <v/>
      </c>
    </row>
    <row r="25" ht="22" customHeight="1" s="29">
      <c r="A25" s="8" t="inlineStr">
        <is>
          <t>Reconciliation Status</t>
        </is>
      </c>
      <c r="B25" s="11" t="n"/>
      <c r="C25" s="20">
        <f>IF(ABS(C23-C24)&lt;0.01, "✔ Balanced", "❌ Unbalanced")</f>
        <v/>
      </c>
      <c r="D25" s="20">
        <f>IF(ABS(D23-D24)&lt;0.01, "✔ Balanced", "❌ Unbalanced")</f>
        <v/>
      </c>
      <c r="E25" s="20">
        <f>IF(ABS(E23-E24)&lt;0.01, "✔ Balanced", "❌ Unbalanced")</f>
        <v/>
      </c>
      <c r="F25" s="20">
        <f>IF(ABS(F23-F24)&lt;0.01, "✔ Balanced", "❌ Unbalanced")</f>
        <v/>
      </c>
      <c r="G25" s="20">
        <f>IF(ABS(G23-G24)&lt;0.01, "✔ Balanced", "❌ Unbalanced")</f>
        <v/>
      </c>
    </row>
    <row r="27" ht="24" customHeight="1" s="29">
      <c r="A27" s="31" t="inlineStr">
        <is>
          <t>3. DAILY OCCUPANCY TRACKER (Simply enter '1' for each day an occupant is present; leave blank or enter '0' if absent)</t>
        </is>
      </c>
    </row>
    <row r="28" ht="25" customHeight="1" s="29">
      <c r="A28" s="4" t="inlineStr">
        <is>
          <t>Occupant Name</t>
        </is>
      </c>
      <c r="B28" s="6" t="inlineStr">
        <is>
          <t>Total Days</t>
        </is>
      </c>
      <c r="C28" s="21">
        <f>IF(OR($B$4="", ISBLANK($B$4)), "", IF(ISNUMBER($B$4), $B$4, DATEVALUE($B$4)))</f>
        <v/>
      </c>
      <c r="D28" s="21">
        <f>IF(C28="", "", IF(C28+1 &lt;= IF(ISNUMBER($D$4), $D$4, DATEVALUE($D$4)), C28+1, ""))</f>
        <v/>
      </c>
      <c r="E28" s="21">
        <f>IF(D28="", "", IF(D28+1 &lt;= IF(ISNUMBER($D$4), $D$4, DATEVALUE($D$4)), D28+1, ""))</f>
        <v/>
      </c>
      <c r="F28" s="21">
        <f>IF(E28="", "", IF(E28+1 &lt;= IF(ISNUMBER($D$4), $D$4, DATEVALUE($D$4)), E28+1, ""))</f>
        <v/>
      </c>
      <c r="G28" s="21">
        <f>IF(F28="", "", IF(F28+1 &lt;= IF(ISNUMBER($D$4), $D$4, DATEVALUE($D$4)), F28+1, ""))</f>
        <v/>
      </c>
      <c r="H28" s="21">
        <f>IF(G28="", "", IF(G28+1 &lt;= IF(ISNUMBER($D$4), $D$4, DATEVALUE($D$4)), G28+1, ""))</f>
        <v/>
      </c>
      <c r="I28" s="21">
        <f>IF(H28="", "", IF(H28+1 &lt;= IF(ISNUMBER($D$4), $D$4, DATEVALUE($D$4)), H28+1, ""))</f>
        <v/>
      </c>
      <c r="J28" s="21">
        <f>IF(I28="", "", IF(I28+1 &lt;= IF(ISNUMBER($D$4), $D$4, DATEVALUE($D$4)), I28+1, ""))</f>
        <v/>
      </c>
      <c r="K28" s="21">
        <f>IF(J28="", "", IF(J28+1 &lt;= IF(ISNUMBER($D$4), $D$4, DATEVALUE($D$4)), J28+1, ""))</f>
        <v/>
      </c>
      <c r="L28" s="21">
        <f>IF(K28="", "", IF(K28+1 &lt;= IF(ISNUMBER($D$4), $D$4, DATEVALUE($D$4)), K28+1, ""))</f>
        <v/>
      </c>
      <c r="M28" s="21">
        <f>IF(L28="", "", IF(L28+1 &lt;= IF(ISNUMBER($D$4), $D$4, DATEVALUE($D$4)), L28+1, ""))</f>
        <v/>
      </c>
      <c r="N28" s="21">
        <f>IF(M28="", "", IF(M28+1 &lt;= IF(ISNUMBER($D$4), $D$4, DATEVALUE($D$4)), M28+1, ""))</f>
        <v/>
      </c>
      <c r="O28" s="21">
        <f>IF(N28="", "", IF(N28+1 &lt;= IF(ISNUMBER($D$4), $D$4, DATEVALUE($D$4)), N28+1, ""))</f>
        <v/>
      </c>
      <c r="P28" s="21">
        <f>IF(O28="", "", IF(O28+1 &lt;= IF(ISNUMBER($D$4), $D$4, DATEVALUE($D$4)), O28+1, ""))</f>
        <v/>
      </c>
      <c r="Q28" s="21">
        <f>IF(P28="", "", IF(P28+1 &lt;= IF(ISNUMBER($D$4), $D$4, DATEVALUE($D$4)), P28+1, ""))</f>
        <v/>
      </c>
      <c r="R28" s="21">
        <f>IF(Q28="", "", IF(Q28+1 &lt;= IF(ISNUMBER($D$4), $D$4, DATEVALUE($D$4)), Q28+1, ""))</f>
        <v/>
      </c>
      <c r="S28" s="21">
        <f>IF(R28="", "", IF(R28+1 &lt;= IF(ISNUMBER($D$4), $D$4, DATEVALUE($D$4)), R28+1, ""))</f>
        <v/>
      </c>
      <c r="T28" s="21">
        <f>IF(S28="", "", IF(S28+1 &lt;= IF(ISNUMBER($D$4), $D$4, DATEVALUE($D$4)), S28+1, ""))</f>
        <v/>
      </c>
      <c r="U28" s="21">
        <f>IF(T28="", "", IF(T28+1 &lt;= IF(ISNUMBER($D$4), $D$4, DATEVALUE($D$4)), T28+1, ""))</f>
        <v/>
      </c>
      <c r="V28" s="21">
        <f>IF(U28="", "", IF(U28+1 &lt;= IF(ISNUMBER($D$4), $D$4, DATEVALUE($D$4)), U28+1, ""))</f>
        <v/>
      </c>
      <c r="W28" s="21">
        <f>IF(V28="", "", IF(V28+1 &lt;= IF(ISNUMBER($D$4), $D$4, DATEVALUE($D$4)), V28+1, ""))</f>
        <v/>
      </c>
      <c r="X28" s="21">
        <f>IF(W28="", "", IF(W28+1 &lt;= IF(ISNUMBER($D$4), $D$4, DATEVALUE($D$4)), W28+1, ""))</f>
        <v/>
      </c>
      <c r="Y28" s="21">
        <f>IF(X28="", "", IF(X28+1 &lt;= IF(ISNUMBER($D$4), $D$4, DATEVALUE($D$4)), X28+1, ""))</f>
        <v/>
      </c>
      <c r="Z28" s="21">
        <f>IF(Y28="", "", IF(Y28+1 &lt;= IF(ISNUMBER($D$4), $D$4, DATEVALUE($D$4)), Y28+1, ""))</f>
        <v/>
      </c>
      <c r="AA28" s="21">
        <f>IF(Z28="", "", IF(Z28+1 &lt;= IF(ISNUMBER($D$4), $D$4, DATEVALUE($D$4)), Z28+1, ""))</f>
        <v/>
      </c>
      <c r="AB28" s="21">
        <f>IF(AA28="", "", IF(AA28+1 &lt;= IF(ISNUMBER($D$4), $D$4, DATEVALUE($D$4)), AA28+1, ""))</f>
        <v/>
      </c>
      <c r="AC28" s="21">
        <f>IF(AB28="", "", IF(AB28+1 &lt;= IF(ISNUMBER($D$4), $D$4, DATEVALUE($D$4)), AB28+1, ""))</f>
        <v/>
      </c>
      <c r="AD28" s="21">
        <f>IF(AC28="", "", IF(AC28+1 &lt;= IF(ISNUMBER($D$4), $D$4, DATEVALUE($D$4)), AC28+1, ""))</f>
        <v/>
      </c>
      <c r="AE28" s="21">
        <f>IF(AD28="", "", IF(AD28+1 &lt;= IF(ISNUMBER($D$4), $D$4, DATEVALUE($D$4)), AD28+1, ""))</f>
        <v/>
      </c>
      <c r="AF28" s="21">
        <f>IF(AE28="", "", IF(AE28+1 &lt;= IF(ISNUMBER($D$4), $D$4, DATEVALUE($D$4)), AE28+1, ""))</f>
        <v/>
      </c>
      <c r="AG28" s="21">
        <f>IF(AF28="", "", IF(AF28+1 &lt;= IF(ISNUMBER($D$4), $D$4, DATEVALUE($D$4)), AF28+1, ""))</f>
        <v/>
      </c>
      <c r="AH28" s="21">
        <f>IF(AG28="","",IF(AG28+1&lt;=$D$4,AG28+1,""))</f>
        <v/>
      </c>
    </row>
    <row r="29" ht="20" customHeight="1" s="29">
      <c r="A29" s="22">
        <f>A13</f>
        <v/>
      </c>
      <c r="B29" s="23">
        <f>SUMIF(C$28:AG$28, "&lt;&gt;", C29:AG29)</f>
        <v/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 ht="20" customHeight="1" s="29">
      <c r="A30" s="22">
        <f>A14</f>
        <v/>
      </c>
      <c r="B30" s="23">
        <f>SUMIF(C$28:AG$28, "&lt;&gt;", C30:AG30)</f>
        <v/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</row>
    <row r="31" ht="20" customHeight="1" s="29">
      <c r="A31" s="22">
        <f>A15</f>
        <v/>
      </c>
      <c r="B31" s="23">
        <f>SUMIF(C$28:AG$28, "&lt;&gt;", C31:AG31)</f>
        <v/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 ht="20" customHeight="1" s="29">
      <c r="A32" s="22">
        <f>A16</f>
        <v/>
      </c>
      <c r="B32" s="23">
        <f>SUMIF(C$28:AG$28, "&lt;&gt;", C32:AG32)</f>
        <v/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</row>
    <row r="33" ht="20" customHeight="1" s="29">
      <c r="A33" s="22">
        <f>A17</f>
        <v/>
      </c>
      <c r="B33" s="23">
        <f>SUMIF(C$28:AG$28, "&lt;&gt;", C33:AG33)</f>
        <v/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</row>
    <row r="34" ht="20" customHeight="1" s="29">
      <c r="A34" s="22">
        <f>A18</f>
        <v/>
      </c>
      <c r="B34" s="23">
        <f>SUMIF(C$28:AG$28, "&lt;&gt;", C34:AG34)</f>
        <v/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 ht="20" customHeight="1" s="29">
      <c r="A35" s="22">
        <f>A19</f>
        <v/>
      </c>
      <c r="B35" s="23">
        <f>SUMIF(C$28:AG$28, "&lt;&gt;", C35:AG35)</f>
        <v/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 ht="20" customHeight="1" s="29">
      <c r="A36" s="22">
        <f>A20</f>
        <v/>
      </c>
      <c r="B36" s="23">
        <f>SUMIF(C$28:AG$28, "&lt;&gt;", C36:AG36)</f>
        <v/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 ht="20" customHeight="1" s="29">
      <c r="A37" s="22">
        <f>A21</f>
        <v/>
      </c>
      <c r="B37" s="23">
        <f>SUMIF(C$28:AG$28, "&lt;&gt;", C37:AG37)</f>
        <v/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 ht="20" customHeight="1" s="29">
      <c r="A38" s="22">
        <f>A22</f>
        <v/>
      </c>
      <c r="B38" s="23">
        <f>SUMIF(C$28:AG$28, "&lt;&gt;", C38:AG38)</f>
        <v/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 ht="22" customHeight="1" s="29">
      <c r="A39" s="8" t="inlineStr">
        <is>
          <t>Total Present</t>
        </is>
      </c>
      <c r="B39" s="24">
        <f>SUM(B29:B38)</f>
        <v/>
      </c>
      <c r="C39" s="25">
        <f>IF(C$28="","",SUM(C29:C38))</f>
        <v/>
      </c>
      <c r="D39" s="25">
        <f>IF(D$28="","",SUM(D29:D38))</f>
        <v/>
      </c>
      <c r="E39" s="25">
        <f>IF(E$28="","",SUM(E29:E38))</f>
        <v/>
      </c>
      <c r="F39" s="25">
        <f>IF(F$28="","",SUM(F29:F38))</f>
        <v/>
      </c>
      <c r="G39" s="25">
        <f>IF(G$28="","",SUM(G29:G38))</f>
        <v/>
      </c>
      <c r="H39" s="25">
        <f>IF(H$28="","",SUM(H29:H38))</f>
        <v/>
      </c>
      <c r="I39" s="25">
        <f>IF(I$28="","",SUM(I29:I38))</f>
        <v/>
      </c>
      <c r="J39" s="25">
        <f>IF(J$28="","",SUM(J29:J38))</f>
        <v/>
      </c>
      <c r="K39" s="25">
        <f>IF(K$28="","",SUM(K29:K38))</f>
        <v/>
      </c>
      <c r="L39" s="25">
        <f>IF(L$28="","",SUM(L29:L38))</f>
        <v/>
      </c>
      <c r="M39" s="25">
        <f>IF(M$28="","",SUM(M29:M38))</f>
        <v/>
      </c>
      <c r="N39" s="25">
        <f>IF(N$28="","",SUM(N29:N38))</f>
        <v/>
      </c>
      <c r="O39" s="25">
        <f>IF(O$28="","",SUM(O29:O38))</f>
        <v/>
      </c>
      <c r="P39" s="25">
        <f>IF(P$28="","",SUM(P29:P38))</f>
        <v/>
      </c>
      <c r="Q39" s="25">
        <f>IF(Q$28="","",SUM(Q29:Q38))</f>
        <v/>
      </c>
      <c r="R39" s="25">
        <f>IF(R$28="","",SUM(R29:R38))</f>
        <v/>
      </c>
      <c r="S39" s="25">
        <f>IF(S$28="","",SUM(S29:S38))</f>
        <v/>
      </c>
      <c r="T39" s="25">
        <f>IF(T$28="","",SUM(T29:T38))</f>
        <v/>
      </c>
      <c r="U39" s="25">
        <f>IF(U$28="","",SUM(U29:U38))</f>
        <v/>
      </c>
      <c r="V39" s="25">
        <f>IF(V$28="","",SUM(V29:V38))</f>
        <v/>
      </c>
      <c r="W39" s="25">
        <f>IF(W$28="","",SUM(W29:W38))</f>
        <v/>
      </c>
      <c r="X39" s="25">
        <f>IF(X$28="","",SUM(X29:X38))</f>
        <v/>
      </c>
      <c r="Y39" s="25">
        <f>IF(Y$28="","",SUM(Y29:Y38))</f>
        <v/>
      </c>
      <c r="Z39" s="25">
        <f>IF(Z$28="","",SUM(Z29:Z38))</f>
        <v/>
      </c>
      <c r="AA39" s="25">
        <f>IF(AA$28="","",SUM(AA29:AA38))</f>
        <v/>
      </c>
      <c r="AB39" s="25">
        <f>IF(AB$28="","",SUM(AB29:AB38))</f>
        <v/>
      </c>
      <c r="AC39" s="25">
        <f>IF(AC$28="","",SUM(AC29:AC38))</f>
        <v/>
      </c>
      <c r="AD39" s="25">
        <f>IF(AD$28="","",SUM(AD29:AD38))</f>
        <v/>
      </c>
      <c r="AE39" s="25">
        <f>IF(AE$28="","",SUM(AE29:AE38))</f>
        <v/>
      </c>
      <c r="AF39" s="25">
        <f>IF(AF$28="","",SUM(AF29:AF38))</f>
        <v/>
      </c>
      <c r="AG39" s="25">
        <f>IF(AG$28="","",SUM(AG29:AG38))</f>
        <v/>
      </c>
    </row>
    <row r="40" ht="22" customHeight="1" s="29">
      <c r="A40" s="8" t="inlineStr">
        <is>
          <t>PUB Cost per Person/Day</t>
        </is>
      </c>
      <c r="B40" s="26">
        <f>SUM(C40:AG40)</f>
        <v/>
      </c>
      <c r="C40" s="14">
        <f>IF(C$28="", "", IF(C39&gt;0, (C$8 / $F$4) / C39, (C$8 / $F$4) / COUNTA($A$13:$A$22)))</f>
        <v/>
      </c>
      <c r="D40" s="14">
        <f>IF(D$28="", "", IF(D39&gt;0, (C$8 / $F$4) / D39, (C$8 / $F$4) / COUNTA($A$13:$A$22)))</f>
        <v/>
      </c>
      <c r="E40" s="14">
        <f>IF(E$28="", "", IF(E39&gt;0, (C$8 / $F$4) / E39, (C$8 / $F$4) / COUNTA($A$13:$A$22)))</f>
        <v/>
      </c>
      <c r="F40" s="14">
        <f>IF(F$28="", "", IF(F39&gt;0, (C$8 / $F$4) / F39, (C$8 / $F$4) / COUNTA($A$13:$A$22)))</f>
        <v/>
      </c>
      <c r="G40" s="14">
        <f>IF(G$28="", "", IF(G39&gt;0, (C$8 / $F$4) / G39, (C$8 / $F$4) / COUNTA($A$13:$A$22)))</f>
        <v/>
      </c>
      <c r="H40" s="14">
        <f>IF(H$28="", "", IF(H39&gt;0, (C$8 / $F$4) / H39, (C$8 / $F$4) / COUNTA($A$13:$A$22)))</f>
        <v/>
      </c>
      <c r="I40" s="14">
        <f>IF(I$28="", "", IF(I39&gt;0, (C$8 / $F$4) / I39, (C$8 / $F$4) / COUNTA($A$13:$A$22)))</f>
        <v/>
      </c>
      <c r="J40" s="14">
        <f>IF(J$28="", "", IF(J39&gt;0, (C$8 / $F$4) / J39, (C$8 / $F$4) / COUNTA($A$13:$A$22)))</f>
        <v/>
      </c>
      <c r="K40" s="14">
        <f>IF(K$28="", "", IF(K39&gt;0, (C$8 / $F$4) / K39, (C$8 / $F$4) / COUNTA($A$13:$A$22)))</f>
        <v/>
      </c>
      <c r="L40" s="14">
        <f>IF(L$28="", "", IF(L39&gt;0, (C$8 / $F$4) / L39, (C$8 / $F$4) / COUNTA($A$13:$A$22)))</f>
        <v/>
      </c>
      <c r="M40" s="14">
        <f>IF(M$28="", "", IF(M39&gt;0, (C$8 / $F$4) / M39, (C$8 / $F$4) / COUNTA($A$13:$A$22)))</f>
        <v/>
      </c>
      <c r="N40" s="14">
        <f>IF(N$28="", "", IF(N39&gt;0, (C$8 / $F$4) / N39, (C$8 / $F$4) / COUNTA($A$13:$A$22)))</f>
        <v/>
      </c>
      <c r="O40" s="14">
        <f>IF(O$28="", "", IF(O39&gt;0, (C$8 / $F$4) / O39, (C$8 / $F$4) / COUNTA($A$13:$A$22)))</f>
        <v/>
      </c>
      <c r="P40" s="14">
        <f>IF(P$28="", "", IF(P39&gt;0, (C$8 / $F$4) / P39, (C$8 / $F$4) / COUNTA($A$13:$A$22)))</f>
        <v/>
      </c>
      <c r="Q40" s="14">
        <f>IF(Q$28="", "", IF(Q39&gt;0, (C$8 / $F$4) / Q39, (C$8 / $F$4) / COUNTA($A$13:$A$22)))</f>
        <v/>
      </c>
      <c r="R40" s="14">
        <f>IF(R$28="", "", IF(R39&gt;0, (C$8 / $F$4) / R39, (C$8 / $F$4) / COUNTA($A$13:$A$22)))</f>
        <v/>
      </c>
      <c r="S40" s="14">
        <f>IF(S$28="", "", IF(S39&gt;0, (C$8 / $F$4) / S39, (C$8 / $F$4) / COUNTA($A$13:$A$22)))</f>
        <v/>
      </c>
      <c r="T40" s="14">
        <f>IF(T$28="", "", IF(T39&gt;0, (C$8 / $F$4) / T39, (C$8 / $F$4) / COUNTA($A$13:$A$22)))</f>
        <v/>
      </c>
      <c r="U40" s="14">
        <f>IF(U$28="", "", IF(U39&gt;0, (C$8 / $F$4) / U39, (C$8 / $F$4) / COUNTA($A$13:$A$22)))</f>
        <v/>
      </c>
      <c r="V40" s="14">
        <f>IF(V$28="", "", IF(V39&gt;0, (C$8 / $F$4) / V39, (C$8 / $F$4) / COUNTA($A$13:$A$22)))</f>
        <v/>
      </c>
      <c r="W40" s="14">
        <f>IF(W$28="", "", IF(W39&gt;0, (C$8 / $F$4) / W39, (C$8 / $F$4) / COUNTA($A$13:$A$22)))</f>
        <v/>
      </c>
      <c r="X40" s="14">
        <f>IF(X$28="", "", IF(X39&gt;0, (C$8 / $F$4) / X39, (C$8 / $F$4) / COUNTA($A$13:$A$22)))</f>
        <v/>
      </c>
      <c r="Y40" s="14">
        <f>IF(Y$28="", "", IF(Y39&gt;0, (C$8 / $F$4) / Y39, (C$8 / $F$4) / COUNTA($A$13:$A$22)))</f>
        <v/>
      </c>
      <c r="Z40" s="14">
        <f>IF(Z$28="", "", IF(Z39&gt;0, (C$8 / $F$4) / Z39, (C$8 / $F$4) / COUNTA($A$13:$A$22)))</f>
        <v/>
      </c>
      <c r="AA40" s="14">
        <f>IF(AA$28="", "", IF(AA39&gt;0, (C$8 / $F$4) / AA39, (C$8 / $F$4) / COUNTA($A$13:$A$22)))</f>
        <v/>
      </c>
      <c r="AB40" s="14">
        <f>IF(AB$28="", "", IF(AB39&gt;0, (C$8 / $F$4) / AB39, (C$8 / $F$4) / COUNTA($A$13:$A$22)))</f>
        <v/>
      </c>
      <c r="AC40" s="14">
        <f>IF(AC$28="", "", IF(AC39&gt;0, (C$8 / $F$4) / AC39, (C$8 / $F$4) / COUNTA($A$13:$A$22)))</f>
        <v/>
      </c>
      <c r="AD40" s="14">
        <f>IF(AD$28="", "", IF(AD39&gt;0, (C$8 / $F$4) / AD39, (C$8 / $F$4) / COUNTA($A$13:$A$22)))</f>
        <v/>
      </c>
      <c r="AE40" s="14">
        <f>IF(AE$28="", "", IF(AE39&gt;0, (C$8 / $F$4) / AE39, (C$8 / $F$4) / COUNTA($A$13:$A$22)))</f>
        <v/>
      </c>
      <c r="AF40" s="14">
        <f>IF(AF$28="", "", IF(AF39&gt;0, (C$8 / $F$4) / AF39, (C$8 / $F$4) / COUNTA($A$13:$A$22)))</f>
        <v/>
      </c>
      <c r="AG40" s="14">
        <f>IF(AG$28="", "", IF(AG39&gt;0, (C$8 / $F$4) / AG39, (C$8 / $F$4) / COUNTA($A$13:$A$22)))</f>
        <v/>
      </c>
    </row>
    <row r="42" ht="16" customHeight="1" s="29">
      <c r="A42" s="34" t="inlineStr">
        <is>
          <t>HOW TO USE THIS SHEET:</t>
        </is>
      </c>
    </row>
    <row r="43" ht="18" customHeight="1" s="29">
      <c r="A43" s="28" t="inlineStr">
        <is>
          <t>1. Enter Billing Start/End Dates in B4/D4. The billing days calculate automatically.</t>
        </is>
      </c>
    </row>
    <row r="44" ht="18" customHeight="1" s="29">
      <c r="A44" s="28" t="inlineStr">
        <is>
          <t>2. Rename any of the utility headers (C7:F7) as needed (e.g., replace 'Custom 1' with 'Netflix' or 'Gas').</t>
        </is>
      </c>
    </row>
    <row r="45" ht="18" customHeight="1" s="29">
      <c r="A45" s="28" t="inlineStr">
        <is>
          <t>3. Enter the total bill for each utility in the green boxes (C8:F8).</t>
        </is>
      </c>
    </row>
    <row r="46" ht="18" customHeight="1" s="29">
      <c r="A46" s="28" t="inlineStr">
        <is>
          <t>4. Choose split methods in green boxes (C9:F9) - choose 'By Days Present' for variable bills (like PUB), 'Split Equally' for flat bills, or 'Split (Top 3)' to split equally among the first 3 occupants only.</t>
        </is>
      </c>
    </row>
    <row r="47" ht="18" customHeight="1" s="29">
      <c r="A47" s="28" t="inlineStr">
        <is>
          <t>5. Enter occupant names in green boxes A13:A22. They will mirror automatically in the daily tracker.</t>
        </is>
      </c>
    </row>
    <row r="48" ht="18" customHeight="1" s="29">
      <c r="A48" s="28" t="inlineStr">
        <is>
          <t>6. In Section 3 (Daily Occupancy Tracker), enter '1' in the green day columns for each day an occupant is present. Leave blank or enter '0' if they are away.</t>
        </is>
      </c>
    </row>
    <row r="49" ht="18" customHeight="1" s="29">
      <c r="A49" s="28" t="inlineStr">
        <is>
          <t>7. Note: The Day columns in Section 3 link to dates in B4/D4. Changing dates will automatically gray out and disable inactive columns.</t>
        </is>
      </c>
    </row>
    <row r="50" ht="18" customHeight="1" s="29">
      <c r="A50" s="32" t="inlineStr">
        <is>
          <t>💡 Verification status displays '✔ Balanced' when individual shares match the total bill. If some people were away, PUB will show '❌ Unbalanced' to reflect the unallocated vacancy cost of empty days.</t>
        </is>
      </c>
    </row>
  </sheetData>
  <mergeCells count="14">
    <mergeCell ref="A44:G44"/>
    <mergeCell ref="A27:AG27"/>
    <mergeCell ref="A1:G1"/>
    <mergeCell ref="A6:G6"/>
    <mergeCell ref="A50:G50"/>
    <mergeCell ref="A48:G48"/>
    <mergeCell ref="A2:G2"/>
    <mergeCell ref="A42:G42"/>
    <mergeCell ref="A43:G43"/>
    <mergeCell ref="A11:G11"/>
    <mergeCell ref="A49:G49"/>
    <mergeCell ref="A47:G47"/>
    <mergeCell ref="A45:G45"/>
    <mergeCell ref="A46:G46"/>
  </mergeCells>
  <conditionalFormatting sqref="C28:AG40">
    <cfRule type="expression" priority="1" dxfId="0" stopIfTrue="1">
      <formula>C$28=""</formula>
    </cfRule>
  </conditionalFormatting>
  <dataValidations count="1">
    <dataValidation sqref="C9:F9" showDropDown="0" showInputMessage="0" showErrorMessage="0" allowBlank="0" errorTitle="Invalid Entry" error="Your entry is not in the list" promptTitle="Split Method" prompt="Please select a split method" type="list">
      <formula1>"By Days Present,Split Equally,Split (Top 3)"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0"/>
  <sheetViews>
    <sheetView workbookViewId="0">
      <selection activeCell="A1" sqref="A1"/>
    </sheetView>
  </sheetViews>
  <sheetFormatPr baseColWidth="10" defaultColWidth="8.83203125" defaultRowHeight="15"/>
  <cols>
    <col width="24" customWidth="1" style="29" min="1" max="1"/>
    <col width="16" customWidth="1" style="29" min="2" max="2"/>
    <col width="6" customWidth="1" style="29" min="3" max="33"/>
  </cols>
  <sheetData>
    <row r="1" ht="30" customHeight="1" s="29">
      <c r="A1" s="30" t="inlineStr">
        <is>
          <t>HOUSEHOLD UTILITY BILL CALCULATOR - FEBRUARY 2027</t>
        </is>
      </c>
    </row>
    <row r="2" ht="20" customHeight="1" s="29">
      <c r="A2" s="33" t="inlineStr">
        <is>
          <t>Distribute shared bills dynamically by days present or equal split. Edit the green shaded cells; formulas do the rest.</t>
        </is>
      </c>
    </row>
    <row r="4" ht="22" customHeight="1" s="29">
      <c r="A4" s="34" t="inlineStr">
        <is>
          <t>Billing Start Date:</t>
        </is>
      </c>
      <c r="B4" s="35" t="n">
        <v>46419</v>
      </c>
      <c r="C4" s="34" t="inlineStr">
        <is>
          <t>Billing End Date:</t>
        </is>
      </c>
      <c r="D4" s="35" t="n">
        <v>46446</v>
      </c>
      <c r="E4" s="34" t="inlineStr">
        <is>
          <t>Billing Period Days:</t>
        </is>
      </c>
      <c r="F4" s="3">
        <f>IF(AND($B$4&lt;&gt;"", $D$4&lt;&gt;""), IF(ISNUMBER($D$4), $D$4, DATEVALUE($D$4)) - IF(ISNUMBER($B$4), $B$4, DATEVALUE($B$4)) + 1, "")</f>
        <v/>
      </c>
    </row>
    <row r="6" ht="24" customHeight="1" s="29">
      <c r="A6" s="31" t="inlineStr">
        <is>
          <t>1. UTILITY CONFIGURATION</t>
        </is>
      </c>
    </row>
    <row r="7" ht="25" customHeight="1" s="29">
      <c r="A7" s="4" t="inlineStr">
        <is>
          <t>Utility Item</t>
        </is>
      </c>
      <c r="B7" s="5" t="inlineStr">
        <is>
          <t>Label Description</t>
        </is>
      </c>
      <c r="C7" s="6" t="inlineStr">
        <is>
          <t>PUB</t>
        </is>
      </c>
      <c r="D7" s="6" t="inlineStr">
        <is>
          <t>Internet</t>
        </is>
      </c>
      <c r="E7" s="6" t="inlineStr">
        <is>
          <t>Custom 1</t>
        </is>
      </c>
      <c r="F7" s="6" t="inlineStr">
        <is>
          <t>Custom 2</t>
        </is>
      </c>
      <c r="G7" s="7" t="inlineStr">
        <is>
          <t>TOTAL BILL</t>
        </is>
      </c>
    </row>
    <row r="8" ht="22" customHeight="1" s="29">
      <c r="A8" s="8" t="inlineStr">
        <is>
          <t>Total Bill Amount</t>
        </is>
      </c>
      <c r="B8" s="5" t="inlineStr">
        <is>
          <t>Enter costs -&gt;</t>
        </is>
      </c>
      <c r="C8" s="9" t="n">
        <v>150</v>
      </c>
      <c r="D8" s="9" t="n">
        <v>43.7</v>
      </c>
      <c r="E8" s="9" t="n">
        <v>0</v>
      </c>
      <c r="F8" s="9" t="n">
        <v>0</v>
      </c>
      <c r="G8" s="10">
        <f>SUM(C8:F8)</f>
        <v/>
      </c>
    </row>
    <row r="9" ht="22" customHeight="1" s="29">
      <c r="A9" s="8" t="inlineStr">
        <is>
          <t>Split Method</t>
        </is>
      </c>
      <c r="B9" s="5" t="inlineStr">
        <is>
          <t>Choose method -&gt;</t>
        </is>
      </c>
      <c r="C9" s="2" t="inlineStr">
        <is>
          <t>By Days Present</t>
        </is>
      </c>
      <c r="D9" s="2" t="inlineStr">
        <is>
          <t>Split (Top 3)</t>
        </is>
      </c>
      <c r="E9" s="2" t="inlineStr">
        <is>
          <t>Split Equally</t>
        </is>
      </c>
      <c r="F9" s="2" t="inlineStr">
        <is>
          <t>Split Equally</t>
        </is>
      </c>
      <c r="G9" s="11" t="n"/>
    </row>
    <row r="11" ht="24" customHeight="1" s="29">
      <c r="A11" s="31" t="inlineStr">
        <is>
          <t>2. OCCUPANT DETAIL &amp; BILL DIVISION</t>
        </is>
      </c>
    </row>
    <row r="12" ht="25" customHeight="1" s="29">
      <c r="A12" s="4" t="inlineStr">
        <is>
          <t>Occupant Name</t>
        </is>
      </c>
      <c r="B12" s="6" t="inlineStr">
        <is>
          <t>Days Present</t>
        </is>
      </c>
      <c r="C12" s="6" t="inlineStr">
        <is>
          <t>PUB Share</t>
        </is>
      </c>
      <c r="D12" s="6" t="inlineStr">
        <is>
          <t>Internet Share</t>
        </is>
      </c>
      <c r="E12" s="6" t="inlineStr">
        <is>
          <t>Custom 1</t>
        </is>
      </c>
      <c r="F12" s="6" t="inlineStr">
        <is>
          <t>Custom 2</t>
        </is>
      </c>
      <c r="G12" s="7" t="inlineStr">
        <is>
          <t>Total Owed</t>
        </is>
      </c>
    </row>
    <row r="13" ht="20" customHeight="1" s="29">
      <c r="A13" s="12" t="inlineStr">
        <is>
          <t>Alex</t>
        </is>
      </c>
      <c r="B13" s="13">
        <f>B29</f>
        <v/>
      </c>
      <c r="C13" s="14">
        <f>IF(ISBLANK($A13), "", IFERROR(IF(C$9="By Days Present", SUMPRODUCT((C$39:AG$39=0) + C29:AG29*(C$39:AG$39&gt;0), C$40:AG$40), IF(C$9="Split Equally", C$8 / COUNTA($A$13:$A$22), IF(C$9="Split (Top 3)", IF(ROW()&lt;=15, C$8 / 3, 0), 0))), 0))</f>
        <v/>
      </c>
      <c r="D13" s="14">
        <f>IF(ISBLANK($A13), "", IFERROR(IF(D$9="By Days Present", SUMPRODUCT(((C$39:AG$39=0)/COUNTA($A$13:$A$22) + (C29:AG29/(C$39:AG$39 + (C$39:AG$39=0)))*(C$39:AG$39&gt;0)), (C$28:AG$28&lt;&gt;"") * (D$8 / $F$4)), IF(D$9="Split Equally", D$8 / COUNTA($A$13:$A$22), IF(D$9="Split (Top 3)", IF(ROW()&lt;=15, D$8 / 3, 0), 0))), 0))</f>
        <v/>
      </c>
      <c r="E13" s="14">
        <f>IF(ISBLANK($A13), "", IFERROR(IF(E$9="By Days Present", SUMPRODUCT(((C$39:AG$39=0)/COUNTA($A$13:$A$22) + (C29:AG29/(C$39:AG$39 + (C$39:AG$39=0)))*(C$39:AG$39&gt;0)), (C$28:AG$28&lt;&gt;"") * (E$8 / $F$4)), IF(E$9="Split Equally", E$8 / COUNTA($A$13:$A$22), IF(E$9="Split (Top 3)", IF(ROW()&lt;=15, E$8 / 3, 0), 0))), 0))</f>
        <v/>
      </c>
      <c r="F13" s="14">
        <f>IF(ISBLANK($A13), "", IFERROR(IF(F$9="By Days Present", SUMPRODUCT(((C$39:AG$39=0)/COUNTA($A$13:$A$22) + (C29:AG29/(C$39:AG$39 + (C$39:AG$39=0)))*(C$39:AG$39&gt;0)), (C$28:AG$28&lt;&gt;"") * (F$8 / $F$4)), IF(F$9="Split Equally", F$8 / COUNTA($A$13:$A$22), IF(F$9="Split (Top 3)", IF(ROW()&lt;=15, F$8 / 3, 0), 0))), 0))</f>
        <v/>
      </c>
      <c r="G13" s="10">
        <f>IF(ISBLANK($A13), "", SUM(C13:F13))</f>
        <v/>
      </c>
    </row>
    <row r="14" ht="20" customHeight="1" s="29">
      <c r="A14" s="12" t="inlineStr">
        <is>
          <t>Jordan</t>
        </is>
      </c>
      <c r="B14" s="13">
        <f>B30</f>
        <v/>
      </c>
      <c r="C14" s="15">
        <f>IF(ISBLANK($A14), "", IFERROR(IF(C$9="By Days Present", SUMPRODUCT((C$39:AG$39=0) + C30:AG30*(C$39:AG$39&gt;0), C$40:AG$40), IF(C$9="Split Equally", C$8 / COUNTA($A$13:$A$22), IF(C$9="Split (Top 3)", IF(ROW()&lt;=15, C$8 / 3, 0), 0))), 0))</f>
        <v/>
      </c>
      <c r="D14" s="15">
        <f>IF(ISBLANK($A14), "", IFERROR(IF(D$9="By Days Present", SUMPRODUCT(((C$39:AG$39=0)/COUNTA($A$13:$A$22) + (C30:AG30/(C$39:AG$39 + (C$39:AG$39=0)))*(C$39:AG$39&gt;0)), (C$28:AG$28&lt;&gt;"") * (D$8 / $F$4)), IF(D$9="Split Equally", D$8 / COUNTA($A$13:$A$22), IF(D$9="Split (Top 3)", IF(ROW()&lt;=15, D$8 / 3, 0), 0))), 0))</f>
        <v/>
      </c>
      <c r="E14" s="15">
        <f>IF(ISBLANK($A14), "", IFERROR(IF(E$9="By Days Present", SUMPRODUCT(((C$39:AG$39=0)/COUNTA($A$13:$A$22) + (C30:AG30/(C$39:AG$39 + (C$39:AG$39=0)))*(C$39:AG$39&gt;0)), (C$28:AG$28&lt;&gt;"") * (E$8 / $F$4)), IF(E$9="Split Equally", E$8 / COUNTA($A$13:$A$22), IF(E$9="Split (Top 3)", IF(ROW()&lt;=15, E$8 / 3, 0), 0))), 0))</f>
        <v/>
      </c>
      <c r="F14" s="15">
        <f>IF(ISBLANK($A14), "", IFERROR(IF(F$9="By Days Present", SUMPRODUCT(((C$39:AG$39=0)/COUNTA($A$13:$A$22) + (C30:AG30/(C$39:AG$39 + (C$39:AG$39=0)))*(C$39:AG$39&gt;0)), (C$28:AG$28&lt;&gt;"") * (F$8 / $F$4)), IF(F$9="Split Equally", F$8 / COUNTA($A$13:$A$22), IF(F$9="Split (Top 3)", IF(ROW()&lt;=15, F$8 / 3, 0), 0))), 0))</f>
        <v/>
      </c>
      <c r="G14" s="10">
        <f>IF(ISBLANK($A14), "", SUM(C14:F14))</f>
        <v/>
      </c>
    </row>
    <row r="15" ht="20" customHeight="1" s="29">
      <c r="A15" s="12" t="inlineStr">
        <is>
          <t>Morgan</t>
        </is>
      </c>
      <c r="B15" s="13">
        <f>B31</f>
        <v/>
      </c>
      <c r="C15" s="14">
        <f>IF(ISBLANK($A15), "", IFERROR(IF(C$9="By Days Present", SUMPRODUCT((C$39:AG$39=0) + C31:AG31*(C$39:AG$39&gt;0), C$40:AG$40), IF(C$9="Split Equally", C$8 / COUNTA($A$13:$A$22), IF(C$9="Split (Top 3)", IF(ROW()&lt;=15, C$8 / 3, 0), 0))), 0))</f>
        <v/>
      </c>
      <c r="D15" s="14">
        <f>IF(ISBLANK($A15), "", IFERROR(IF(D$9="By Days Present", SUMPRODUCT(((C$39:AG$39=0)/COUNTA($A$13:$A$22) + (C31:AG31/(C$39:AG$39 + (C$39:AG$39=0)))*(C$39:AG$39&gt;0)), (C$28:AG$28&lt;&gt;"") * (D$8 / $F$4)), IF(D$9="Split Equally", D$8 / COUNTA($A$13:$A$22), IF(D$9="Split (Top 3)", IF(ROW()&lt;=15, D$8 / 3, 0), 0))), 0))</f>
        <v/>
      </c>
      <c r="E15" s="14">
        <f>IF(ISBLANK($A15), "", IFERROR(IF(E$9="By Days Present", SUMPRODUCT(((C$39:AG$39=0)/COUNTA($A$13:$A$22) + (C31:AG31/(C$39:AG$39 + (C$39:AG$39=0)))*(C$39:AG$39&gt;0)), (C$28:AG$28&lt;&gt;"") * (E$8 / $F$4)), IF(E$9="Split Equally", E$8 / COUNTA($A$13:$A$22), IF(E$9="Split (Top 3)", IF(ROW()&lt;=15, E$8 / 3, 0), 0))), 0))</f>
        <v/>
      </c>
      <c r="F15" s="14">
        <f>IF(ISBLANK($A15), "", IFERROR(IF(F$9="By Days Present", SUMPRODUCT(((C$39:AG$39=0)/COUNTA($A$13:$A$22) + (C31:AG31/(C$39:AG$39 + (C$39:AG$39=0)))*(C$39:AG$39&gt;0)), (C$28:AG$28&lt;&gt;"") * (F$8 / $F$4)), IF(F$9="Split Equally", F$8 / COUNTA($A$13:$A$22), IF(F$9="Split (Top 3)", IF(ROW()&lt;=15, F$8 / 3, 0), 0))), 0))</f>
        <v/>
      </c>
      <c r="G15" s="10">
        <f>IF(ISBLANK($A15), "", SUM(C15:F15))</f>
        <v/>
      </c>
    </row>
    <row r="16" ht="20" customHeight="1" s="29">
      <c r="A16" s="12" t="inlineStr">
        <is>
          <t>Taylor</t>
        </is>
      </c>
      <c r="B16" s="13">
        <f>B32</f>
        <v/>
      </c>
      <c r="C16" s="15">
        <f>IF(ISBLANK($A16), "", IFERROR(IF(C$9="By Days Present", SUMPRODUCT((C$39:AG$39=0) + C32:AG32*(C$39:AG$39&gt;0), C$40:AG$40), IF(C$9="Split Equally", C$8 / COUNTA($A$13:$A$22), IF(C$9="Split (Top 3)", IF(ROW()&lt;=15, C$8 / 3, 0), 0))), 0))</f>
        <v/>
      </c>
      <c r="D16" s="15">
        <f>IF(ISBLANK($A16), "", IFERROR(IF(D$9="By Days Present", SUMPRODUCT(((C$39:AG$39=0)/COUNTA($A$13:$A$22) + (C32:AG32/(C$39:AG$39 + (C$39:AG$39=0)))*(C$39:AG$39&gt;0)), (C$28:AG$28&lt;&gt;"") * (D$8 / $F$4)), IF(D$9="Split Equally", D$8 / COUNTA($A$13:$A$22), IF(D$9="Split (Top 3)", IF(ROW()&lt;=15, D$8 / 3, 0), 0))), 0))</f>
        <v/>
      </c>
      <c r="E16" s="15">
        <f>IF(ISBLANK($A16), "", IFERROR(IF(E$9="By Days Present", SUMPRODUCT(((C$39:AG$39=0)/COUNTA($A$13:$A$22) + (C32:AG32/(C$39:AG$39 + (C$39:AG$39=0)))*(C$39:AG$39&gt;0)), (C$28:AG$28&lt;&gt;"") * (E$8 / $F$4)), IF(E$9="Split Equally", E$8 / COUNTA($A$13:$A$22), IF(E$9="Split (Top 3)", IF(ROW()&lt;=15, E$8 / 3, 0), 0))), 0))</f>
        <v/>
      </c>
      <c r="F16" s="15">
        <f>IF(ISBLANK($A16), "", IFERROR(IF(F$9="By Days Present", SUMPRODUCT(((C$39:AG$39=0)/COUNTA($A$13:$A$22) + (C32:AG32/(C$39:AG$39 + (C$39:AG$39=0)))*(C$39:AG$39&gt;0)), (C$28:AG$28&lt;&gt;"") * (F$8 / $F$4)), IF(F$9="Split Equally", F$8 / COUNTA($A$13:$A$22), IF(F$9="Split (Top 3)", IF(ROW()&lt;=15, F$8 / 3, 0), 0))), 0))</f>
        <v/>
      </c>
      <c r="G16" s="10">
        <f>IF(ISBLANK($A16), "", SUM(C16:F16))</f>
        <v/>
      </c>
    </row>
    <row r="17" ht="20" customHeight="1" s="29">
      <c r="A17" s="12" t="n"/>
      <c r="B17" s="13">
        <f>B33</f>
        <v/>
      </c>
      <c r="C17" s="14">
        <f>IF(ISBLANK($A17), "", IFERROR(IF(C$9="By Days Present", SUMPRODUCT((C$39:AG$39=0) + C33:AG33*(C$39:AG$39&gt;0), C$40:AG$40), IF(C$9="Split Equally", C$8 / COUNTA($A$13:$A$22), IF(C$9="Split (Top 3)", IF(ROW()&lt;=15, C$8 / 3, 0), 0))), 0))</f>
        <v/>
      </c>
      <c r="D17" s="14">
        <f>IF(ISBLANK($A17), "", IFERROR(IF(D$9="By Days Present", SUMPRODUCT(((C$39:AG$39=0)/COUNTA($A$13:$A$22) + (C33:AG33/(C$39:AG$39 + (C$39:AG$39=0)))*(C$39:AG$39&gt;0)), (C$28:AG$28&lt;&gt;"") * (D$8 / $F$4)), IF(D$9="Split Equally", D$8 / COUNTA($A$13:$A$22), IF(D$9="Split (Top 3)", IF(ROW()&lt;=15, D$8 / 3, 0), 0))), 0))</f>
        <v/>
      </c>
      <c r="E17" s="14">
        <f>IF(ISBLANK($A17), "", IFERROR(IF(E$9="By Days Present", SUMPRODUCT(((C$39:AG$39=0)/COUNTA($A$13:$A$22) + (C33:AG33/(C$39:AG$39 + (C$39:AG$39=0)))*(C$39:AG$39&gt;0)), (C$28:AG$28&lt;&gt;"") * (E$8 / $F$4)), IF(E$9="Split Equally", E$8 / COUNTA($A$13:$A$22), IF(E$9="Split (Top 3)", IF(ROW()&lt;=15, E$8 / 3, 0), 0))), 0))</f>
        <v/>
      </c>
      <c r="F17" s="14">
        <f>IF(ISBLANK($A17), "", IFERROR(IF(F$9="By Days Present", SUMPRODUCT(((C$39:AG$39=0)/COUNTA($A$13:$A$22) + (C33:AG33/(C$39:AG$39 + (C$39:AG$39=0)))*(C$39:AG$39&gt;0)), (C$28:AG$28&lt;&gt;"") * (F$8 / $F$4)), IF(F$9="Split Equally", F$8 / COUNTA($A$13:$A$22), IF(F$9="Split (Top 3)", IF(ROW()&lt;=15, F$8 / 3, 0), 0))), 0))</f>
        <v/>
      </c>
      <c r="G17" s="10">
        <f>IF(ISBLANK($A17), "", SUM(C17:F17))</f>
        <v/>
      </c>
    </row>
    <row r="18" ht="20" customHeight="1" s="29">
      <c r="A18" s="12" t="n"/>
      <c r="B18" s="13">
        <f>B34</f>
        <v/>
      </c>
      <c r="C18" s="15">
        <f>IF(ISBLANK($A18), "", IFERROR(IF(C$9="By Days Present", SUMPRODUCT((C$39:AG$39=0) + C34:AG34*(C$39:AG$39&gt;0), C$40:AG$40), IF(C$9="Split Equally", C$8 / COUNTA($A$13:$A$22), IF(C$9="Split (Top 3)", IF(ROW()&lt;=15, C$8 / 3, 0), 0))), 0))</f>
        <v/>
      </c>
      <c r="D18" s="15">
        <f>IF(ISBLANK($A18), "", IFERROR(IF(D$9="By Days Present", SUMPRODUCT(((C$39:AG$39=0)/COUNTA($A$13:$A$22) + (C34:AG34/(C$39:AG$39 + (C$39:AG$39=0)))*(C$39:AG$39&gt;0)), (C$28:AG$28&lt;&gt;"") * (D$8 / $F$4)), IF(D$9="Split Equally", D$8 / COUNTA($A$13:$A$22), IF(D$9="Split (Top 3)", IF(ROW()&lt;=15, D$8 / 3, 0), 0))), 0))</f>
        <v/>
      </c>
      <c r="E18" s="15">
        <f>IF(ISBLANK($A18), "", IFERROR(IF(E$9="By Days Present", SUMPRODUCT(((C$39:AG$39=0)/COUNTA($A$13:$A$22) + (C34:AG34/(C$39:AG$39 + (C$39:AG$39=0)))*(C$39:AG$39&gt;0)), (C$28:AG$28&lt;&gt;"") * (E$8 / $F$4)), IF(E$9="Split Equally", E$8 / COUNTA($A$13:$A$22), IF(E$9="Split (Top 3)", IF(ROW()&lt;=15, E$8 / 3, 0), 0))), 0))</f>
        <v/>
      </c>
      <c r="F18" s="15">
        <f>IF(ISBLANK($A18), "", IFERROR(IF(F$9="By Days Present", SUMPRODUCT(((C$39:AG$39=0)/COUNTA($A$13:$A$22) + (C34:AG34/(C$39:AG$39 + (C$39:AG$39=0)))*(C$39:AG$39&gt;0)), (C$28:AG$28&lt;&gt;"") * (F$8 / $F$4)), IF(F$9="Split Equally", F$8 / COUNTA($A$13:$A$22), IF(F$9="Split (Top 3)", IF(ROW()&lt;=15, F$8 / 3, 0), 0))), 0))</f>
        <v/>
      </c>
      <c r="G18" s="10">
        <f>IF(ISBLANK($A18), "", SUM(C18:F18))</f>
        <v/>
      </c>
    </row>
    <row r="19" ht="20" customHeight="1" s="29">
      <c r="A19" s="12" t="n"/>
      <c r="B19" s="13">
        <f>B35</f>
        <v/>
      </c>
      <c r="C19" s="14">
        <f>IF(ISBLANK($A19), "", IFERROR(IF(C$9="By Days Present", SUMPRODUCT((C$39:AG$39=0) + C35:AG35*(C$39:AG$39&gt;0), C$40:AG$40), IF(C$9="Split Equally", C$8 / COUNTA($A$13:$A$22), IF(C$9="Split (Top 3)", IF(ROW()&lt;=15, C$8 / 3, 0), 0))), 0))</f>
        <v/>
      </c>
      <c r="D19" s="14">
        <f>IF(ISBLANK($A19), "", IFERROR(IF(D$9="By Days Present", SUMPRODUCT(((C$39:AG$39=0)/COUNTA($A$13:$A$22) + (C35:AG35/(C$39:AG$39 + (C$39:AG$39=0)))*(C$39:AG$39&gt;0)), (C$28:AG$28&lt;&gt;"") * (D$8 / $F$4)), IF(D$9="Split Equally", D$8 / COUNTA($A$13:$A$22), IF(D$9="Split (Top 3)", IF(ROW()&lt;=15, D$8 / 3, 0), 0))), 0))</f>
        <v/>
      </c>
      <c r="E19" s="14">
        <f>IF(ISBLANK($A19), "", IFERROR(IF(E$9="By Days Present", SUMPRODUCT(((C$39:AG$39=0)/COUNTA($A$13:$A$22) + (C35:AG35/(C$39:AG$39 + (C$39:AG$39=0)))*(C$39:AG$39&gt;0)), (C$28:AG$28&lt;&gt;"") * (E$8 / $F$4)), IF(E$9="Split Equally", E$8 / COUNTA($A$13:$A$22), IF(E$9="Split (Top 3)", IF(ROW()&lt;=15, E$8 / 3, 0), 0))), 0))</f>
        <v/>
      </c>
      <c r="F19" s="14">
        <f>IF(ISBLANK($A19), "", IFERROR(IF(F$9="By Days Present", SUMPRODUCT(((C$39:AG$39=0)/COUNTA($A$13:$A$22) + (C35:AG35/(C$39:AG$39 + (C$39:AG$39=0)))*(C$39:AG$39&gt;0)), (C$28:AG$28&lt;&gt;"") * (F$8 / $F$4)), IF(F$9="Split Equally", F$8 / COUNTA($A$13:$A$22), IF(F$9="Split (Top 3)", IF(ROW()&lt;=15, F$8 / 3, 0), 0))), 0))</f>
        <v/>
      </c>
      <c r="G19" s="10">
        <f>IF(ISBLANK($A19), "", SUM(C19:F19))</f>
        <v/>
      </c>
    </row>
    <row r="20" ht="20" customHeight="1" s="29">
      <c r="A20" s="12" t="n"/>
      <c r="B20" s="13">
        <f>B36</f>
        <v/>
      </c>
      <c r="C20" s="15">
        <f>IF(ISBLANK($A20), "", IFERROR(IF(C$9="By Days Present", SUMPRODUCT((C$39:AG$39=0) + C36:AG36*(C$39:AG$39&gt;0), C$40:AG$40), IF(C$9="Split Equally", C$8 / COUNTA($A$13:$A$22), IF(C$9="Split (Top 3)", IF(ROW()&lt;=15, C$8 / 3, 0), 0))), 0))</f>
        <v/>
      </c>
      <c r="D20" s="15">
        <f>IF(ISBLANK($A20), "", IFERROR(IF(D$9="By Days Present", SUMPRODUCT(((C$39:AG$39=0)/COUNTA($A$13:$A$22) + (C36:AG36/(C$39:AG$39 + (C$39:AG$39=0)))*(C$39:AG$39&gt;0)), (C$28:AG$28&lt;&gt;"") * (D$8 / $F$4)), IF(D$9="Split Equally", D$8 / COUNTA($A$13:$A$22), IF(D$9="Split (Top 3)", IF(ROW()&lt;=15, D$8 / 3, 0), 0))), 0))</f>
        <v/>
      </c>
      <c r="E20" s="15">
        <f>IF(ISBLANK($A20), "", IFERROR(IF(E$9="By Days Present", SUMPRODUCT(((C$39:AG$39=0)/COUNTA($A$13:$A$22) + (C36:AG36/(C$39:AG$39 + (C$39:AG$39=0)))*(C$39:AG$39&gt;0)), (C$28:AG$28&lt;&gt;"") * (E$8 / $F$4)), IF(E$9="Split Equally", E$8 / COUNTA($A$13:$A$22), IF(E$9="Split (Top 3)", IF(ROW()&lt;=15, E$8 / 3, 0), 0))), 0))</f>
        <v/>
      </c>
      <c r="F20" s="15">
        <f>IF(ISBLANK($A20), "", IFERROR(IF(F$9="By Days Present", SUMPRODUCT(((C$39:AG$39=0)/COUNTA($A$13:$A$22) + (C36:AG36/(C$39:AG$39 + (C$39:AG$39=0)))*(C$39:AG$39&gt;0)), (C$28:AG$28&lt;&gt;"") * (F$8 / $F$4)), IF(F$9="Split Equally", F$8 / COUNTA($A$13:$A$22), IF(F$9="Split (Top 3)", IF(ROW()&lt;=15, F$8 / 3, 0), 0))), 0))</f>
        <v/>
      </c>
      <c r="G20" s="10">
        <f>IF(ISBLANK($A20), "", SUM(C20:F20))</f>
        <v/>
      </c>
    </row>
    <row r="21" ht="20" customHeight="1" s="29">
      <c r="A21" s="12" t="n"/>
      <c r="B21" s="13">
        <f>B37</f>
        <v/>
      </c>
      <c r="C21" s="14">
        <f>IF(ISBLANK($A21), "", IFERROR(IF(C$9="By Days Present", SUMPRODUCT((C$39:AG$39=0) + C37:AG37*(C$39:AG$39&gt;0), C$40:AG$40), IF(C$9="Split Equally", C$8 / COUNTA($A$13:$A$22), IF(C$9="Split (Top 3)", IF(ROW()&lt;=15, C$8 / 3, 0), 0))), 0))</f>
        <v/>
      </c>
      <c r="D21" s="14">
        <f>IF(ISBLANK($A21), "", IFERROR(IF(D$9="By Days Present", SUMPRODUCT(((C$39:AG$39=0)/COUNTA($A$13:$A$22) + (C37:AG37/(C$39:AG$39 + (C$39:AG$39=0)))*(C$39:AG$39&gt;0)), (C$28:AG$28&lt;&gt;"") * (D$8 / $F$4)), IF(D$9="Split Equally", D$8 / COUNTA($A$13:$A$22), IF(D$9="Split (Top 3)", IF(ROW()&lt;=15, D$8 / 3, 0), 0))), 0))</f>
        <v/>
      </c>
      <c r="E21" s="14">
        <f>IF(ISBLANK($A21), "", IFERROR(IF(E$9="By Days Present", SUMPRODUCT(((C$39:AG$39=0)/COUNTA($A$13:$A$22) + (C37:AG37/(C$39:AG$39 + (C$39:AG$39=0)))*(C$39:AG$39&gt;0)), (C$28:AG$28&lt;&gt;"") * (E$8 / $F$4)), IF(E$9="Split Equally", E$8 / COUNTA($A$13:$A$22), IF(E$9="Split (Top 3)", IF(ROW()&lt;=15, E$8 / 3, 0), 0))), 0))</f>
        <v/>
      </c>
      <c r="F21" s="14">
        <f>IF(ISBLANK($A21), "", IFERROR(IF(F$9="By Days Present", SUMPRODUCT(((C$39:AG$39=0)/COUNTA($A$13:$A$22) + (C37:AG37/(C$39:AG$39 + (C$39:AG$39=0)))*(C$39:AG$39&gt;0)), (C$28:AG$28&lt;&gt;"") * (F$8 / $F$4)), IF(F$9="Split Equally", F$8 / COUNTA($A$13:$A$22), IF(F$9="Split (Top 3)", IF(ROW()&lt;=15, F$8 / 3, 0), 0))), 0))</f>
        <v/>
      </c>
      <c r="G21" s="10">
        <f>IF(ISBLANK($A21), "", SUM(C21:F21))</f>
        <v/>
      </c>
    </row>
    <row r="22" ht="20" customHeight="1" s="29">
      <c r="A22" s="12" t="n"/>
      <c r="B22" s="13">
        <f>B38</f>
        <v/>
      </c>
      <c r="C22" s="15">
        <f>IF(ISBLANK($A22), "", IFERROR(IF(C$9="By Days Present", SUMPRODUCT((C$39:AG$39=0) + C38:AG38*(C$39:AG$39&gt;0), C$40:AG$40), IF(C$9="Split Equally", C$8 / COUNTA($A$13:$A$22), IF(C$9="Split (Top 3)", IF(ROW()&lt;=15, C$8 / 3, 0), 0))), 0))</f>
        <v/>
      </c>
      <c r="D22" s="15">
        <f>IF(ISBLANK($A22), "", IFERROR(IF(D$9="By Days Present", SUMPRODUCT(((C$39:AG$39=0)/COUNTA($A$13:$A$22) + (C38:AG38/(C$39:AG$39 + (C$39:AG$39=0)))*(C$39:AG$39&gt;0)), (C$28:AG$28&lt;&gt;"") * (D$8 / $F$4)), IF(D$9="Split Equally", D$8 / COUNTA($A$13:$A$22), IF(D$9="Split (Top 3)", IF(ROW()&lt;=15, D$8 / 3, 0), 0))), 0))</f>
        <v/>
      </c>
      <c r="E22" s="15">
        <f>IF(ISBLANK($A22), "", IFERROR(IF(E$9="By Days Present", SUMPRODUCT(((C$39:AG$39=0)/COUNTA($A$13:$A$22) + (C38:AG38/(C$39:AG$39 + (C$39:AG$39=0)))*(C$39:AG$39&gt;0)), (C$28:AG$28&lt;&gt;"") * (E$8 / $F$4)), IF(E$9="Split Equally", E$8 / COUNTA($A$13:$A$22), IF(E$9="Split (Top 3)", IF(ROW()&lt;=15, E$8 / 3, 0), 0))), 0))</f>
        <v/>
      </c>
      <c r="F22" s="15">
        <f>IF(ISBLANK($A22), "", IFERROR(IF(F$9="By Days Present", SUMPRODUCT(((C$39:AG$39=0)/COUNTA($A$13:$A$22) + (C38:AG38/(C$39:AG$39 + (C$39:AG$39=0)))*(C$39:AG$39&gt;0)), (C$28:AG$28&lt;&gt;"") * (F$8 / $F$4)), IF(F$9="Split Equally", F$8 / COUNTA($A$13:$A$22), IF(F$9="Split (Top 3)", IF(ROW()&lt;=15, F$8 / 3, 0), 0))), 0))</f>
        <v/>
      </c>
      <c r="G22" s="10">
        <f>IF(ISBLANK($A22), "", SUM(C22:F22))</f>
        <v/>
      </c>
    </row>
    <row r="23" ht="22" customHeight="1" s="29">
      <c r="A23" s="16" t="inlineStr">
        <is>
          <t>Total Allocated Share</t>
        </is>
      </c>
      <c r="B23" s="17">
        <f>SUM(B13:B22)</f>
        <v/>
      </c>
      <c r="C23" s="18">
        <f>SUM(C13:C22)</f>
        <v/>
      </c>
      <c r="D23" s="18">
        <f>SUM(D13:D22)</f>
        <v/>
      </c>
      <c r="E23" s="18">
        <f>SUM(E13:E22)</f>
        <v/>
      </c>
      <c r="F23" s="18">
        <f>SUM(F13:F22)</f>
        <v/>
      </c>
      <c r="G23" s="18">
        <f>SUM(G13:G22)</f>
        <v/>
      </c>
    </row>
    <row r="24" ht="22" customHeight="1" s="29">
      <c r="A24" s="8" t="inlineStr">
        <is>
          <t>Actual Total Bill Amount</t>
        </is>
      </c>
      <c r="B24" s="11" t="n"/>
      <c r="C24" s="14">
        <f>C8</f>
        <v/>
      </c>
      <c r="D24" s="14">
        <f>D8</f>
        <v/>
      </c>
      <c r="E24" s="14">
        <f>E8</f>
        <v/>
      </c>
      <c r="F24" s="14">
        <f>F8</f>
        <v/>
      </c>
      <c r="G24" s="19">
        <f>G8</f>
        <v/>
      </c>
    </row>
    <row r="25" ht="22" customHeight="1" s="29">
      <c r="A25" s="8" t="inlineStr">
        <is>
          <t>Reconciliation Status</t>
        </is>
      </c>
      <c r="B25" s="11" t="n"/>
      <c r="C25" s="20">
        <f>IF(ABS(C23-C24)&lt;0.01, "✔ Balanced", "❌ Unbalanced")</f>
        <v/>
      </c>
      <c r="D25" s="20">
        <f>IF(ABS(D23-D24)&lt;0.01, "✔ Balanced", "❌ Unbalanced")</f>
        <v/>
      </c>
      <c r="E25" s="20">
        <f>IF(ABS(E23-E24)&lt;0.01, "✔ Balanced", "❌ Unbalanced")</f>
        <v/>
      </c>
      <c r="F25" s="20">
        <f>IF(ABS(F23-F24)&lt;0.01, "✔ Balanced", "❌ Unbalanced")</f>
        <v/>
      </c>
      <c r="G25" s="20">
        <f>IF(ABS(G23-G24)&lt;0.01, "✔ Balanced", "❌ Unbalanced")</f>
        <v/>
      </c>
    </row>
    <row r="27" ht="24" customHeight="1" s="29">
      <c r="A27" s="31" t="inlineStr">
        <is>
          <t>3. DAILY OCCUPANCY TRACKER (Simply enter '1' for each day an occupant is present; leave blank or enter '0' if absent)</t>
        </is>
      </c>
    </row>
    <row r="28" ht="25" customHeight="1" s="29">
      <c r="A28" s="4" t="inlineStr">
        <is>
          <t>Occupant Name</t>
        </is>
      </c>
      <c r="B28" s="6" t="inlineStr">
        <is>
          <t>Total Days</t>
        </is>
      </c>
      <c r="C28" s="21">
        <f>IF(OR($B$4="", ISBLANK($B$4)), "", IF(ISNUMBER($B$4), $B$4, DATEVALUE($B$4)))</f>
        <v/>
      </c>
      <c r="D28" s="21">
        <f>IF(C28="", "", IF(C28+1 &lt;= IF(ISNUMBER($D$4), $D$4, DATEVALUE($D$4)), C28+1, ""))</f>
        <v/>
      </c>
      <c r="E28" s="21">
        <f>IF(D28="", "", IF(D28+1 &lt;= IF(ISNUMBER($D$4), $D$4, DATEVALUE($D$4)), D28+1, ""))</f>
        <v/>
      </c>
      <c r="F28" s="21">
        <f>IF(E28="", "", IF(E28+1 &lt;= IF(ISNUMBER($D$4), $D$4, DATEVALUE($D$4)), E28+1, ""))</f>
        <v/>
      </c>
      <c r="G28" s="21">
        <f>IF(F28="", "", IF(F28+1 &lt;= IF(ISNUMBER($D$4), $D$4, DATEVALUE($D$4)), F28+1, ""))</f>
        <v/>
      </c>
      <c r="H28" s="21">
        <f>IF(G28="", "", IF(G28+1 &lt;= IF(ISNUMBER($D$4), $D$4, DATEVALUE($D$4)), G28+1, ""))</f>
        <v/>
      </c>
      <c r="I28" s="21">
        <f>IF(H28="", "", IF(H28+1 &lt;= IF(ISNUMBER($D$4), $D$4, DATEVALUE($D$4)), H28+1, ""))</f>
        <v/>
      </c>
      <c r="J28" s="21">
        <f>IF(I28="", "", IF(I28+1 &lt;= IF(ISNUMBER($D$4), $D$4, DATEVALUE($D$4)), I28+1, ""))</f>
        <v/>
      </c>
      <c r="K28" s="21">
        <f>IF(J28="", "", IF(J28+1 &lt;= IF(ISNUMBER($D$4), $D$4, DATEVALUE($D$4)), J28+1, ""))</f>
        <v/>
      </c>
      <c r="L28" s="21">
        <f>IF(K28="", "", IF(K28+1 &lt;= IF(ISNUMBER($D$4), $D$4, DATEVALUE($D$4)), K28+1, ""))</f>
        <v/>
      </c>
      <c r="M28" s="21">
        <f>IF(L28="", "", IF(L28+1 &lt;= IF(ISNUMBER($D$4), $D$4, DATEVALUE($D$4)), L28+1, ""))</f>
        <v/>
      </c>
      <c r="N28" s="21">
        <f>IF(M28="", "", IF(M28+1 &lt;= IF(ISNUMBER($D$4), $D$4, DATEVALUE($D$4)), M28+1, ""))</f>
        <v/>
      </c>
      <c r="O28" s="21">
        <f>IF(N28="", "", IF(N28+1 &lt;= IF(ISNUMBER($D$4), $D$4, DATEVALUE($D$4)), N28+1, ""))</f>
        <v/>
      </c>
      <c r="P28" s="21">
        <f>IF(O28="", "", IF(O28+1 &lt;= IF(ISNUMBER($D$4), $D$4, DATEVALUE($D$4)), O28+1, ""))</f>
        <v/>
      </c>
      <c r="Q28" s="21">
        <f>IF(P28="", "", IF(P28+1 &lt;= IF(ISNUMBER($D$4), $D$4, DATEVALUE($D$4)), P28+1, ""))</f>
        <v/>
      </c>
      <c r="R28" s="21">
        <f>IF(Q28="", "", IF(Q28+1 &lt;= IF(ISNUMBER($D$4), $D$4, DATEVALUE($D$4)), Q28+1, ""))</f>
        <v/>
      </c>
      <c r="S28" s="21">
        <f>IF(R28="", "", IF(R28+1 &lt;= IF(ISNUMBER($D$4), $D$4, DATEVALUE($D$4)), R28+1, ""))</f>
        <v/>
      </c>
      <c r="T28" s="21">
        <f>IF(S28="", "", IF(S28+1 &lt;= IF(ISNUMBER($D$4), $D$4, DATEVALUE($D$4)), S28+1, ""))</f>
        <v/>
      </c>
      <c r="U28" s="21">
        <f>IF(T28="", "", IF(T28+1 &lt;= IF(ISNUMBER($D$4), $D$4, DATEVALUE($D$4)), T28+1, ""))</f>
        <v/>
      </c>
      <c r="V28" s="21">
        <f>IF(U28="", "", IF(U28+1 &lt;= IF(ISNUMBER($D$4), $D$4, DATEVALUE($D$4)), U28+1, ""))</f>
        <v/>
      </c>
      <c r="W28" s="21">
        <f>IF(V28="", "", IF(V28+1 &lt;= IF(ISNUMBER($D$4), $D$4, DATEVALUE($D$4)), V28+1, ""))</f>
        <v/>
      </c>
      <c r="X28" s="21">
        <f>IF(W28="", "", IF(W28+1 &lt;= IF(ISNUMBER($D$4), $D$4, DATEVALUE($D$4)), W28+1, ""))</f>
        <v/>
      </c>
      <c r="Y28" s="21">
        <f>IF(X28="", "", IF(X28+1 &lt;= IF(ISNUMBER($D$4), $D$4, DATEVALUE($D$4)), X28+1, ""))</f>
        <v/>
      </c>
      <c r="Z28" s="21">
        <f>IF(Y28="", "", IF(Y28+1 &lt;= IF(ISNUMBER($D$4), $D$4, DATEVALUE($D$4)), Y28+1, ""))</f>
        <v/>
      </c>
      <c r="AA28" s="21">
        <f>IF(Z28="", "", IF(Z28+1 &lt;= IF(ISNUMBER($D$4), $D$4, DATEVALUE($D$4)), Z28+1, ""))</f>
        <v/>
      </c>
      <c r="AB28" s="21">
        <f>IF(AA28="", "", IF(AA28+1 &lt;= IF(ISNUMBER($D$4), $D$4, DATEVALUE($D$4)), AA28+1, ""))</f>
        <v/>
      </c>
      <c r="AC28" s="21">
        <f>IF(AB28="", "", IF(AB28+1 &lt;= IF(ISNUMBER($D$4), $D$4, DATEVALUE($D$4)), AB28+1, ""))</f>
        <v/>
      </c>
      <c r="AD28" s="21">
        <f>IF(AC28="", "", IF(AC28+1 &lt;= IF(ISNUMBER($D$4), $D$4, DATEVALUE($D$4)), AC28+1, ""))</f>
        <v/>
      </c>
      <c r="AE28" s="21">
        <f>IF(AD28="", "", IF(AD28+1 &lt;= IF(ISNUMBER($D$4), $D$4, DATEVALUE($D$4)), AD28+1, ""))</f>
        <v/>
      </c>
      <c r="AF28" s="21">
        <f>IF(AE28="", "", IF(AE28+1 &lt;= IF(ISNUMBER($D$4), $D$4, DATEVALUE($D$4)), AE28+1, ""))</f>
        <v/>
      </c>
      <c r="AG28" s="21">
        <f>IF(AF28="", "", IF(AF28+1 &lt;= IF(ISNUMBER($D$4), $D$4, DATEVALUE($D$4)), AF28+1, ""))</f>
        <v/>
      </c>
      <c r="AH28" s="21">
        <f>IF(AG28="","",IF(AG28+1&lt;=$D$4,AG28+1,""))</f>
        <v/>
      </c>
    </row>
    <row r="29" ht="20" customHeight="1" s="29">
      <c r="A29" s="22">
        <f>A13</f>
        <v/>
      </c>
      <c r="B29" s="23">
        <f>SUMIF(C$28:AG$28, "&lt;&gt;", C29:AG29)</f>
        <v/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 ht="20" customHeight="1" s="29">
      <c r="A30" s="22">
        <f>A14</f>
        <v/>
      </c>
      <c r="B30" s="23">
        <f>SUMIF(C$28:AG$28, "&lt;&gt;", C30:AG30)</f>
        <v/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</row>
    <row r="31" ht="20" customHeight="1" s="29">
      <c r="A31" s="22">
        <f>A15</f>
        <v/>
      </c>
      <c r="B31" s="23">
        <f>SUMIF(C$28:AG$28, "&lt;&gt;", C31:AG31)</f>
        <v/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 ht="20" customHeight="1" s="29">
      <c r="A32" s="22">
        <f>A16</f>
        <v/>
      </c>
      <c r="B32" s="23">
        <f>SUMIF(C$28:AG$28, "&lt;&gt;", C32:AG32)</f>
        <v/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</row>
    <row r="33" ht="20" customHeight="1" s="29">
      <c r="A33" s="22">
        <f>A17</f>
        <v/>
      </c>
      <c r="B33" s="23">
        <f>SUMIF(C$28:AG$28, "&lt;&gt;", C33:AG33)</f>
        <v/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</row>
    <row r="34" ht="20" customHeight="1" s="29">
      <c r="A34" s="22">
        <f>A18</f>
        <v/>
      </c>
      <c r="B34" s="23">
        <f>SUMIF(C$28:AG$28, "&lt;&gt;", C34:AG34)</f>
        <v/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 ht="20" customHeight="1" s="29">
      <c r="A35" s="22">
        <f>A19</f>
        <v/>
      </c>
      <c r="B35" s="23">
        <f>SUMIF(C$28:AG$28, "&lt;&gt;", C35:AG35)</f>
        <v/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 ht="20" customHeight="1" s="29">
      <c r="A36" s="22">
        <f>A20</f>
        <v/>
      </c>
      <c r="B36" s="23">
        <f>SUMIF(C$28:AG$28, "&lt;&gt;", C36:AG36)</f>
        <v/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 ht="20" customHeight="1" s="29">
      <c r="A37" s="22">
        <f>A21</f>
        <v/>
      </c>
      <c r="B37" s="23">
        <f>SUMIF(C$28:AG$28, "&lt;&gt;", C37:AG37)</f>
        <v/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 ht="20" customHeight="1" s="29">
      <c r="A38" s="22">
        <f>A22</f>
        <v/>
      </c>
      <c r="B38" s="23">
        <f>SUMIF(C$28:AG$28, "&lt;&gt;", C38:AG38)</f>
        <v/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 ht="22" customHeight="1" s="29">
      <c r="A39" s="8" t="inlineStr">
        <is>
          <t>Total Present</t>
        </is>
      </c>
      <c r="B39" s="24">
        <f>SUM(B29:B38)</f>
        <v/>
      </c>
      <c r="C39" s="25">
        <f>IF(C$28="","",SUM(C29:C38))</f>
        <v/>
      </c>
      <c r="D39" s="25">
        <f>IF(D$28="","",SUM(D29:D38))</f>
        <v/>
      </c>
      <c r="E39" s="25">
        <f>IF(E$28="","",SUM(E29:E38))</f>
        <v/>
      </c>
      <c r="F39" s="25">
        <f>IF(F$28="","",SUM(F29:F38))</f>
        <v/>
      </c>
      <c r="G39" s="25">
        <f>IF(G$28="","",SUM(G29:G38))</f>
        <v/>
      </c>
      <c r="H39" s="25">
        <f>IF(H$28="","",SUM(H29:H38))</f>
        <v/>
      </c>
      <c r="I39" s="25">
        <f>IF(I$28="","",SUM(I29:I38))</f>
        <v/>
      </c>
      <c r="J39" s="25">
        <f>IF(J$28="","",SUM(J29:J38))</f>
        <v/>
      </c>
      <c r="K39" s="25">
        <f>IF(K$28="","",SUM(K29:K38))</f>
        <v/>
      </c>
      <c r="L39" s="25">
        <f>IF(L$28="","",SUM(L29:L38))</f>
        <v/>
      </c>
      <c r="M39" s="25">
        <f>IF(M$28="","",SUM(M29:M38))</f>
        <v/>
      </c>
      <c r="N39" s="25">
        <f>IF(N$28="","",SUM(N29:N38))</f>
        <v/>
      </c>
      <c r="O39" s="25">
        <f>IF(O$28="","",SUM(O29:O38))</f>
        <v/>
      </c>
      <c r="P39" s="25">
        <f>IF(P$28="","",SUM(P29:P38))</f>
        <v/>
      </c>
      <c r="Q39" s="25">
        <f>IF(Q$28="","",SUM(Q29:Q38))</f>
        <v/>
      </c>
      <c r="R39" s="25">
        <f>IF(R$28="","",SUM(R29:R38))</f>
        <v/>
      </c>
      <c r="S39" s="25">
        <f>IF(S$28="","",SUM(S29:S38))</f>
        <v/>
      </c>
      <c r="T39" s="25">
        <f>IF(T$28="","",SUM(T29:T38))</f>
        <v/>
      </c>
      <c r="U39" s="25">
        <f>IF(U$28="","",SUM(U29:U38))</f>
        <v/>
      </c>
      <c r="V39" s="25">
        <f>IF(V$28="","",SUM(V29:V38))</f>
        <v/>
      </c>
      <c r="W39" s="25">
        <f>IF(W$28="","",SUM(W29:W38))</f>
        <v/>
      </c>
      <c r="X39" s="25">
        <f>IF(X$28="","",SUM(X29:X38))</f>
        <v/>
      </c>
      <c r="Y39" s="25">
        <f>IF(Y$28="","",SUM(Y29:Y38))</f>
        <v/>
      </c>
      <c r="Z39" s="25">
        <f>IF(Z$28="","",SUM(Z29:Z38))</f>
        <v/>
      </c>
      <c r="AA39" s="25">
        <f>IF(AA$28="","",SUM(AA29:AA38))</f>
        <v/>
      </c>
      <c r="AB39" s="25">
        <f>IF(AB$28="","",SUM(AB29:AB38))</f>
        <v/>
      </c>
      <c r="AC39" s="25">
        <f>IF(AC$28="","",SUM(AC29:AC38))</f>
        <v/>
      </c>
      <c r="AD39" s="25">
        <f>IF(AD$28="","",SUM(AD29:AD38))</f>
        <v/>
      </c>
      <c r="AE39" s="25">
        <f>IF(AE$28="","",SUM(AE29:AE38))</f>
        <v/>
      </c>
      <c r="AF39" s="25">
        <f>IF(AF$28="","",SUM(AF29:AF38))</f>
        <v/>
      </c>
      <c r="AG39" s="25">
        <f>IF(AG$28="","",SUM(AG29:AG38))</f>
        <v/>
      </c>
    </row>
    <row r="40" ht="22" customHeight="1" s="29">
      <c r="A40" s="8" t="inlineStr">
        <is>
          <t>PUB Cost per Person/Day</t>
        </is>
      </c>
      <c r="B40" s="26">
        <f>SUM(C40:AG40)</f>
        <v/>
      </c>
      <c r="C40" s="14">
        <f>IF(C$28="", "", IF(C39&gt;0, (C$8 / $F$4) / C39, (C$8 / $F$4) / COUNTA($A$13:$A$22)))</f>
        <v/>
      </c>
      <c r="D40" s="14">
        <f>IF(D$28="", "", IF(D39&gt;0, (C$8 / $F$4) / D39, (C$8 / $F$4) / COUNTA($A$13:$A$22)))</f>
        <v/>
      </c>
      <c r="E40" s="14">
        <f>IF(E$28="", "", IF(E39&gt;0, (C$8 / $F$4) / E39, (C$8 / $F$4) / COUNTA($A$13:$A$22)))</f>
        <v/>
      </c>
      <c r="F40" s="14">
        <f>IF(F$28="", "", IF(F39&gt;0, (C$8 / $F$4) / F39, (C$8 / $F$4) / COUNTA($A$13:$A$22)))</f>
        <v/>
      </c>
      <c r="G40" s="14">
        <f>IF(G$28="", "", IF(G39&gt;0, (C$8 / $F$4) / G39, (C$8 / $F$4) / COUNTA($A$13:$A$22)))</f>
        <v/>
      </c>
      <c r="H40" s="14">
        <f>IF(H$28="", "", IF(H39&gt;0, (C$8 / $F$4) / H39, (C$8 / $F$4) / COUNTA($A$13:$A$22)))</f>
        <v/>
      </c>
      <c r="I40" s="14">
        <f>IF(I$28="", "", IF(I39&gt;0, (C$8 / $F$4) / I39, (C$8 / $F$4) / COUNTA($A$13:$A$22)))</f>
        <v/>
      </c>
      <c r="J40" s="14">
        <f>IF(J$28="", "", IF(J39&gt;0, (C$8 / $F$4) / J39, (C$8 / $F$4) / COUNTA($A$13:$A$22)))</f>
        <v/>
      </c>
      <c r="K40" s="14">
        <f>IF(K$28="", "", IF(K39&gt;0, (C$8 / $F$4) / K39, (C$8 / $F$4) / COUNTA($A$13:$A$22)))</f>
        <v/>
      </c>
      <c r="L40" s="14">
        <f>IF(L$28="", "", IF(L39&gt;0, (C$8 / $F$4) / L39, (C$8 / $F$4) / COUNTA($A$13:$A$22)))</f>
        <v/>
      </c>
      <c r="M40" s="14">
        <f>IF(M$28="", "", IF(M39&gt;0, (C$8 / $F$4) / M39, (C$8 / $F$4) / COUNTA($A$13:$A$22)))</f>
        <v/>
      </c>
      <c r="N40" s="14">
        <f>IF(N$28="", "", IF(N39&gt;0, (C$8 / $F$4) / N39, (C$8 / $F$4) / COUNTA($A$13:$A$22)))</f>
        <v/>
      </c>
      <c r="O40" s="14">
        <f>IF(O$28="", "", IF(O39&gt;0, (C$8 / $F$4) / O39, (C$8 / $F$4) / COUNTA($A$13:$A$22)))</f>
        <v/>
      </c>
      <c r="P40" s="14">
        <f>IF(P$28="", "", IF(P39&gt;0, (C$8 / $F$4) / P39, (C$8 / $F$4) / COUNTA($A$13:$A$22)))</f>
        <v/>
      </c>
      <c r="Q40" s="14">
        <f>IF(Q$28="", "", IF(Q39&gt;0, (C$8 / $F$4) / Q39, (C$8 / $F$4) / COUNTA($A$13:$A$22)))</f>
        <v/>
      </c>
      <c r="R40" s="14">
        <f>IF(R$28="", "", IF(R39&gt;0, (C$8 / $F$4) / R39, (C$8 / $F$4) / COUNTA($A$13:$A$22)))</f>
        <v/>
      </c>
      <c r="S40" s="14">
        <f>IF(S$28="", "", IF(S39&gt;0, (C$8 / $F$4) / S39, (C$8 / $F$4) / COUNTA($A$13:$A$22)))</f>
        <v/>
      </c>
      <c r="T40" s="14">
        <f>IF(T$28="", "", IF(T39&gt;0, (C$8 / $F$4) / T39, (C$8 / $F$4) / COUNTA($A$13:$A$22)))</f>
        <v/>
      </c>
      <c r="U40" s="14">
        <f>IF(U$28="", "", IF(U39&gt;0, (C$8 / $F$4) / U39, (C$8 / $F$4) / COUNTA($A$13:$A$22)))</f>
        <v/>
      </c>
      <c r="V40" s="14">
        <f>IF(V$28="", "", IF(V39&gt;0, (C$8 / $F$4) / V39, (C$8 / $F$4) / COUNTA($A$13:$A$22)))</f>
        <v/>
      </c>
      <c r="W40" s="14">
        <f>IF(W$28="", "", IF(W39&gt;0, (C$8 / $F$4) / W39, (C$8 / $F$4) / COUNTA($A$13:$A$22)))</f>
        <v/>
      </c>
      <c r="X40" s="14">
        <f>IF(X$28="", "", IF(X39&gt;0, (C$8 / $F$4) / X39, (C$8 / $F$4) / COUNTA($A$13:$A$22)))</f>
        <v/>
      </c>
      <c r="Y40" s="14">
        <f>IF(Y$28="", "", IF(Y39&gt;0, (C$8 / $F$4) / Y39, (C$8 / $F$4) / COUNTA($A$13:$A$22)))</f>
        <v/>
      </c>
      <c r="Z40" s="14">
        <f>IF(Z$28="", "", IF(Z39&gt;0, (C$8 / $F$4) / Z39, (C$8 / $F$4) / COUNTA($A$13:$A$22)))</f>
        <v/>
      </c>
      <c r="AA40" s="14">
        <f>IF(AA$28="", "", IF(AA39&gt;0, (C$8 / $F$4) / AA39, (C$8 / $F$4) / COUNTA($A$13:$A$22)))</f>
        <v/>
      </c>
      <c r="AB40" s="14">
        <f>IF(AB$28="", "", IF(AB39&gt;0, (C$8 / $F$4) / AB39, (C$8 / $F$4) / COUNTA($A$13:$A$22)))</f>
        <v/>
      </c>
      <c r="AC40" s="14">
        <f>IF(AC$28="", "", IF(AC39&gt;0, (C$8 / $F$4) / AC39, (C$8 / $F$4) / COUNTA($A$13:$A$22)))</f>
        <v/>
      </c>
      <c r="AD40" s="14">
        <f>IF(AD$28="", "", IF(AD39&gt;0, (C$8 / $F$4) / AD39, (C$8 / $F$4) / COUNTA($A$13:$A$22)))</f>
        <v/>
      </c>
      <c r="AE40" s="14">
        <f>IF(AE$28="", "", IF(AE39&gt;0, (C$8 / $F$4) / AE39, (C$8 / $F$4) / COUNTA($A$13:$A$22)))</f>
        <v/>
      </c>
      <c r="AF40" s="14">
        <f>IF(AF$28="", "", IF(AF39&gt;0, (C$8 / $F$4) / AF39, (C$8 / $F$4) / COUNTA($A$13:$A$22)))</f>
        <v/>
      </c>
      <c r="AG40" s="14">
        <f>IF(AG$28="", "", IF(AG39&gt;0, (C$8 / $F$4) / AG39, (C$8 / $F$4) / COUNTA($A$13:$A$22)))</f>
        <v/>
      </c>
    </row>
    <row r="42" ht="16" customHeight="1" s="29">
      <c r="A42" s="34" t="inlineStr">
        <is>
          <t>HOW TO USE THIS SHEET:</t>
        </is>
      </c>
    </row>
    <row r="43" ht="18" customHeight="1" s="29">
      <c r="A43" s="28" t="inlineStr">
        <is>
          <t>1. Enter Billing Start/End Dates in B4/D4. The billing days calculate automatically.</t>
        </is>
      </c>
    </row>
    <row r="44" ht="18" customHeight="1" s="29">
      <c r="A44" s="28" t="inlineStr">
        <is>
          <t>2. Rename any of the utility headers (C7:F7) as needed (e.g., replace 'Custom 1' with 'Netflix' or 'Gas').</t>
        </is>
      </c>
    </row>
    <row r="45" ht="18" customHeight="1" s="29">
      <c r="A45" s="28" t="inlineStr">
        <is>
          <t>3. Enter the total bill for each utility in the green boxes (C8:F8).</t>
        </is>
      </c>
    </row>
    <row r="46" ht="18" customHeight="1" s="29">
      <c r="A46" s="28" t="inlineStr">
        <is>
          <t>4. Choose split methods in green boxes (C9:F9) - choose 'By Days Present' for variable bills (like PUB), 'Split Equally' for flat bills, or 'Split (Top 3)' to split equally among the first 3 occupants only.</t>
        </is>
      </c>
    </row>
    <row r="47" ht="18" customHeight="1" s="29">
      <c r="A47" s="28" t="inlineStr">
        <is>
          <t>5. Enter occupant names in green boxes A13:A22. They will mirror automatically in the daily tracker.</t>
        </is>
      </c>
    </row>
    <row r="48" ht="18" customHeight="1" s="29">
      <c r="A48" s="28" t="inlineStr">
        <is>
          <t>6. In Section 3 (Daily Occupancy Tracker), enter '1' in the green day columns for each day an occupant is present. Leave blank or enter '0' if they are away.</t>
        </is>
      </c>
    </row>
    <row r="49" ht="18" customHeight="1" s="29">
      <c r="A49" s="28" t="inlineStr">
        <is>
          <t>7. Note: The Day columns in Section 3 link to dates in B4/D4. Changing dates will automatically gray out and disable inactive columns.</t>
        </is>
      </c>
    </row>
    <row r="50" ht="18" customHeight="1" s="29">
      <c r="A50" s="32" t="inlineStr">
        <is>
          <t>💡 Verification status displays '✔ Balanced' when individual shares match the total bill. If some people were away, PUB will show '❌ Unbalanced' to reflect the unallocated vacancy cost of empty days.</t>
        </is>
      </c>
    </row>
  </sheetData>
  <mergeCells count="14">
    <mergeCell ref="A44:G44"/>
    <mergeCell ref="A27:AG27"/>
    <mergeCell ref="A1:G1"/>
    <mergeCell ref="A6:G6"/>
    <mergeCell ref="A50:G50"/>
    <mergeCell ref="A48:G48"/>
    <mergeCell ref="A2:G2"/>
    <mergeCell ref="A42:G42"/>
    <mergeCell ref="A43:G43"/>
    <mergeCell ref="A11:G11"/>
    <mergeCell ref="A49:G49"/>
    <mergeCell ref="A47:G47"/>
    <mergeCell ref="A45:G45"/>
    <mergeCell ref="A46:G46"/>
  </mergeCells>
  <conditionalFormatting sqref="C28:AG40">
    <cfRule type="expression" priority="1" dxfId="0" stopIfTrue="1">
      <formula>C$28=""</formula>
    </cfRule>
  </conditionalFormatting>
  <dataValidations count="1">
    <dataValidation sqref="C9:F9" showDropDown="0" showInputMessage="0" showErrorMessage="0" allowBlank="0" errorTitle="Invalid Entry" error="Your entry is not in the list" promptTitle="Split Method" prompt="Please select a split method" type="list">
      <formula1>"By Days Present,Split Equally,Split (Top 3)"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0"/>
  <sheetViews>
    <sheetView workbookViewId="0">
      <selection activeCell="A1" sqref="A1"/>
    </sheetView>
  </sheetViews>
  <sheetFormatPr baseColWidth="10" defaultColWidth="8.83203125" defaultRowHeight="15"/>
  <cols>
    <col width="24" customWidth="1" style="29" min="1" max="1"/>
    <col width="16" customWidth="1" style="29" min="2" max="2"/>
    <col width="6" customWidth="1" style="29" min="3" max="33"/>
  </cols>
  <sheetData>
    <row r="1" ht="30" customHeight="1" s="29">
      <c r="A1" s="30" t="inlineStr">
        <is>
          <t>HOUSEHOLD UTILITY BILL CALCULATOR - MARCH 2027</t>
        </is>
      </c>
    </row>
    <row r="2" ht="20" customHeight="1" s="29">
      <c r="A2" s="33" t="inlineStr">
        <is>
          <t>Distribute shared bills dynamically by days present or equal split. Edit the green shaded cells; formulas do the rest.</t>
        </is>
      </c>
    </row>
    <row r="4" ht="22" customHeight="1" s="29">
      <c r="A4" s="34" t="inlineStr">
        <is>
          <t>Billing Start Date:</t>
        </is>
      </c>
      <c r="B4" s="35" t="n">
        <v>46447</v>
      </c>
      <c r="C4" s="34" t="inlineStr">
        <is>
          <t>Billing End Date:</t>
        </is>
      </c>
      <c r="D4" s="35" t="n">
        <v>46477</v>
      </c>
      <c r="E4" s="34" t="inlineStr">
        <is>
          <t>Billing Period Days:</t>
        </is>
      </c>
      <c r="F4" s="3">
        <f>IF(AND($B$4&lt;&gt;"", $D$4&lt;&gt;""), IF(ISNUMBER($D$4), $D$4, DATEVALUE($D$4)) - IF(ISNUMBER($B$4), $B$4, DATEVALUE($B$4)) + 1, "")</f>
        <v/>
      </c>
    </row>
    <row r="6" ht="24" customHeight="1" s="29">
      <c r="A6" s="31" t="inlineStr">
        <is>
          <t>1. UTILITY CONFIGURATION</t>
        </is>
      </c>
    </row>
    <row r="7" ht="25" customHeight="1" s="29">
      <c r="A7" s="4" t="inlineStr">
        <is>
          <t>Utility Item</t>
        </is>
      </c>
      <c r="B7" s="5" t="inlineStr">
        <is>
          <t>Label Description</t>
        </is>
      </c>
      <c r="C7" s="6" t="inlineStr">
        <is>
          <t>PUB</t>
        </is>
      </c>
      <c r="D7" s="6" t="inlineStr">
        <is>
          <t>Internet</t>
        </is>
      </c>
      <c r="E7" s="6" t="inlineStr">
        <is>
          <t>Custom 1</t>
        </is>
      </c>
      <c r="F7" s="6" t="inlineStr">
        <is>
          <t>Custom 2</t>
        </is>
      </c>
      <c r="G7" s="7" t="inlineStr">
        <is>
          <t>TOTAL BILL</t>
        </is>
      </c>
    </row>
    <row r="8" ht="22" customHeight="1" s="29">
      <c r="A8" s="8" t="inlineStr">
        <is>
          <t>Total Bill Amount</t>
        </is>
      </c>
      <c r="B8" s="5" t="inlineStr">
        <is>
          <t>Enter costs -&gt;</t>
        </is>
      </c>
      <c r="C8" s="9" t="n">
        <v>150</v>
      </c>
      <c r="D8" s="9" t="n">
        <v>43.7</v>
      </c>
      <c r="E8" s="9" t="n">
        <v>0</v>
      </c>
      <c r="F8" s="9" t="n">
        <v>0</v>
      </c>
      <c r="G8" s="10">
        <f>SUM(C8:F8)</f>
        <v/>
      </c>
    </row>
    <row r="9" ht="22" customHeight="1" s="29">
      <c r="A9" s="8" t="inlineStr">
        <is>
          <t>Split Method</t>
        </is>
      </c>
      <c r="B9" s="5" t="inlineStr">
        <is>
          <t>Choose method -&gt;</t>
        </is>
      </c>
      <c r="C9" s="2" t="inlineStr">
        <is>
          <t>By Days Present</t>
        </is>
      </c>
      <c r="D9" s="2" t="inlineStr">
        <is>
          <t>Split (Top 3)</t>
        </is>
      </c>
      <c r="E9" s="2" t="inlineStr">
        <is>
          <t>Split Equally</t>
        </is>
      </c>
      <c r="F9" s="2" t="inlineStr">
        <is>
          <t>Split Equally</t>
        </is>
      </c>
      <c r="G9" s="11" t="n"/>
    </row>
    <row r="11" ht="24" customHeight="1" s="29">
      <c r="A11" s="31" t="inlineStr">
        <is>
          <t>2. OCCUPANT DETAIL &amp; BILL DIVISION</t>
        </is>
      </c>
    </row>
    <row r="12" ht="25" customHeight="1" s="29">
      <c r="A12" s="4" t="inlineStr">
        <is>
          <t>Occupant Name</t>
        </is>
      </c>
      <c r="B12" s="6" t="inlineStr">
        <is>
          <t>Days Present</t>
        </is>
      </c>
      <c r="C12" s="6" t="inlineStr">
        <is>
          <t>PUB Share</t>
        </is>
      </c>
      <c r="D12" s="6" t="inlineStr">
        <is>
          <t>Internet Share</t>
        </is>
      </c>
      <c r="E12" s="6" t="inlineStr">
        <is>
          <t>Custom 1</t>
        </is>
      </c>
      <c r="F12" s="6" t="inlineStr">
        <is>
          <t>Custom 2</t>
        </is>
      </c>
      <c r="G12" s="7" t="inlineStr">
        <is>
          <t>Total Owed</t>
        </is>
      </c>
    </row>
    <row r="13" ht="20" customHeight="1" s="29">
      <c r="A13" s="12" t="inlineStr">
        <is>
          <t>Alex</t>
        </is>
      </c>
      <c r="B13" s="13">
        <f>B29</f>
        <v/>
      </c>
      <c r="C13" s="14">
        <f>IF(ISBLANK($A13), "", IFERROR(IF(C$9="By Days Present", SUMPRODUCT((C$39:AG$39=0) + C29:AG29*(C$39:AG$39&gt;0), C$40:AG$40), IF(C$9="Split Equally", C$8 / COUNTA($A$13:$A$22), IF(C$9="Split (Top 3)", IF(ROW()&lt;=15, C$8 / 3, 0), 0))), 0))</f>
        <v/>
      </c>
      <c r="D13" s="14">
        <f>IF(ISBLANK($A13), "", IFERROR(IF(D$9="By Days Present", SUMPRODUCT(((C$39:AG$39=0)/COUNTA($A$13:$A$22) + (C29:AG29/(C$39:AG$39 + (C$39:AG$39=0)))*(C$39:AG$39&gt;0)), (C$28:AG$28&lt;&gt;"") * (D$8 / $F$4)), IF(D$9="Split Equally", D$8 / COUNTA($A$13:$A$22), IF(D$9="Split (Top 3)", IF(ROW()&lt;=15, D$8 / 3, 0), 0))), 0))</f>
        <v/>
      </c>
      <c r="E13" s="14">
        <f>IF(ISBLANK($A13), "", IFERROR(IF(E$9="By Days Present", SUMPRODUCT(((C$39:AG$39=0)/COUNTA($A$13:$A$22) + (C29:AG29/(C$39:AG$39 + (C$39:AG$39=0)))*(C$39:AG$39&gt;0)), (C$28:AG$28&lt;&gt;"") * (E$8 / $F$4)), IF(E$9="Split Equally", E$8 / COUNTA($A$13:$A$22), IF(E$9="Split (Top 3)", IF(ROW()&lt;=15, E$8 / 3, 0), 0))), 0))</f>
        <v/>
      </c>
      <c r="F13" s="14">
        <f>IF(ISBLANK($A13), "", IFERROR(IF(F$9="By Days Present", SUMPRODUCT(((C$39:AG$39=0)/COUNTA($A$13:$A$22) + (C29:AG29/(C$39:AG$39 + (C$39:AG$39=0)))*(C$39:AG$39&gt;0)), (C$28:AG$28&lt;&gt;"") * (F$8 / $F$4)), IF(F$9="Split Equally", F$8 / COUNTA($A$13:$A$22), IF(F$9="Split (Top 3)", IF(ROW()&lt;=15, F$8 / 3, 0), 0))), 0))</f>
        <v/>
      </c>
      <c r="G13" s="10">
        <f>IF(ISBLANK($A13), "", SUM(C13:F13))</f>
        <v/>
      </c>
    </row>
    <row r="14" ht="20" customHeight="1" s="29">
      <c r="A14" s="12" t="inlineStr">
        <is>
          <t>Jordan</t>
        </is>
      </c>
      <c r="B14" s="13">
        <f>B30</f>
        <v/>
      </c>
      <c r="C14" s="15">
        <f>IF(ISBLANK($A14), "", IFERROR(IF(C$9="By Days Present", SUMPRODUCT((C$39:AG$39=0) + C30:AG30*(C$39:AG$39&gt;0), C$40:AG$40), IF(C$9="Split Equally", C$8 / COUNTA($A$13:$A$22), IF(C$9="Split (Top 3)", IF(ROW()&lt;=15, C$8 / 3, 0), 0))), 0))</f>
        <v/>
      </c>
      <c r="D14" s="15">
        <f>IF(ISBLANK($A14), "", IFERROR(IF(D$9="By Days Present", SUMPRODUCT(((C$39:AG$39=0)/COUNTA($A$13:$A$22) + (C30:AG30/(C$39:AG$39 + (C$39:AG$39=0)))*(C$39:AG$39&gt;0)), (C$28:AG$28&lt;&gt;"") * (D$8 / $F$4)), IF(D$9="Split Equally", D$8 / COUNTA($A$13:$A$22), IF(D$9="Split (Top 3)", IF(ROW()&lt;=15, D$8 / 3, 0), 0))), 0))</f>
        <v/>
      </c>
      <c r="E14" s="15">
        <f>IF(ISBLANK($A14), "", IFERROR(IF(E$9="By Days Present", SUMPRODUCT(((C$39:AG$39=0)/COUNTA($A$13:$A$22) + (C30:AG30/(C$39:AG$39 + (C$39:AG$39=0)))*(C$39:AG$39&gt;0)), (C$28:AG$28&lt;&gt;"") * (E$8 / $F$4)), IF(E$9="Split Equally", E$8 / COUNTA($A$13:$A$22), IF(E$9="Split (Top 3)", IF(ROW()&lt;=15, E$8 / 3, 0), 0))), 0))</f>
        <v/>
      </c>
      <c r="F14" s="15">
        <f>IF(ISBLANK($A14), "", IFERROR(IF(F$9="By Days Present", SUMPRODUCT(((C$39:AG$39=0)/COUNTA($A$13:$A$22) + (C30:AG30/(C$39:AG$39 + (C$39:AG$39=0)))*(C$39:AG$39&gt;0)), (C$28:AG$28&lt;&gt;"") * (F$8 / $F$4)), IF(F$9="Split Equally", F$8 / COUNTA($A$13:$A$22), IF(F$9="Split (Top 3)", IF(ROW()&lt;=15, F$8 / 3, 0), 0))), 0))</f>
        <v/>
      </c>
      <c r="G14" s="10">
        <f>IF(ISBLANK($A14), "", SUM(C14:F14))</f>
        <v/>
      </c>
    </row>
    <row r="15" ht="20" customHeight="1" s="29">
      <c r="A15" s="12" t="inlineStr">
        <is>
          <t>Morgan</t>
        </is>
      </c>
      <c r="B15" s="13">
        <f>B31</f>
        <v/>
      </c>
      <c r="C15" s="14">
        <f>IF(ISBLANK($A15), "", IFERROR(IF(C$9="By Days Present", SUMPRODUCT((C$39:AG$39=0) + C31:AG31*(C$39:AG$39&gt;0), C$40:AG$40), IF(C$9="Split Equally", C$8 / COUNTA($A$13:$A$22), IF(C$9="Split (Top 3)", IF(ROW()&lt;=15, C$8 / 3, 0), 0))), 0))</f>
        <v/>
      </c>
      <c r="D15" s="14">
        <f>IF(ISBLANK($A15), "", IFERROR(IF(D$9="By Days Present", SUMPRODUCT(((C$39:AG$39=0)/COUNTA($A$13:$A$22) + (C31:AG31/(C$39:AG$39 + (C$39:AG$39=0)))*(C$39:AG$39&gt;0)), (C$28:AG$28&lt;&gt;"") * (D$8 / $F$4)), IF(D$9="Split Equally", D$8 / COUNTA($A$13:$A$22), IF(D$9="Split (Top 3)", IF(ROW()&lt;=15, D$8 / 3, 0), 0))), 0))</f>
        <v/>
      </c>
      <c r="E15" s="14">
        <f>IF(ISBLANK($A15), "", IFERROR(IF(E$9="By Days Present", SUMPRODUCT(((C$39:AG$39=0)/COUNTA($A$13:$A$22) + (C31:AG31/(C$39:AG$39 + (C$39:AG$39=0)))*(C$39:AG$39&gt;0)), (C$28:AG$28&lt;&gt;"") * (E$8 / $F$4)), IF(E$9="Split Equally", E$8 / COUNTA($A$13:$A$22), IF(E$9="Split (Top 3)", IF(ROW()&lt;=15, E$8 / 3, 0), 0))), 0))</f>
        <v/>
      </c>
      <c r="F15" s="14">
        <f>IF(ISBLANK($A15), "", IFERROR(IF(F$9="By Days Present", SUMPRODUCT(((C$39:AG$39=0)/COUNTA($A$13:$A$22) + (C31:AG31/(C$39:AG$39 + (C$39:AG$39=0)))*(C$39:AG$39&gt;0)), (C$28:AG$28&lt;&gt;"") * (F$8 / $F$4)), IF(F$9="Split Equally", F$8 / COUNTA($A$13:$A$22), IF(F$9="Split (Top 3)", IF(ROW()&lt;=15, F$8 / 3, 0), 0))), 0))</f>
        <v/>
      </c>
      <c r="G15" s="10">
        <f>IF(ISBLANK($A15), "", SUM(C15:F15))</f>
        <v/>
      </c>
    </row>
    <row r="16" ht="20" customHeight="1" s="29">
      <c r="A16" s="12" t="inlineStr">
        <is>
          <t>Taylor</t>
        </is>
      </c>
      <c r="B16" s="13">
        <f>B32</f>
        <v/>
      </c>
      <c r="C16" s="15">
        <f>IF(ISBLANK($A16), "", IFERROR(IF(C$9="By Days Present", SUMPRODUCT((C$39:AG$39=0) + C32:AG32*(C$39:AG$39&gt;0), C$40:AG$40), IF(C$9="Split Equally", C$8 / COUNTA($A$13:$A$22), IF(C$9="Split (Top 3)", IF(ROW()&lt;=15, C$8 / 3, 0), 0))), 0))</f>
        <v/>
      </c>
      <c r="D16" s="15">
        <f>IF(ISBLANK($A16), "", IFERROR(IF(D$9="By Days Present", SUMPRODUCT(((C$39:AG$39=0)/COUNTA($A$13:$A$22) + (C32:AG32/(C$39:AG$39 + (C$39:AG$39=0)))*(C$39:AG$39&gt;0)), (C$28:AG$28&lt;&gt;"") * (D$8 / $F$4)), IF(D$9="Split Equally", D$8 / COUNTA($A$13:$A$22), IF(D$9="Split (Top 3)", IF(ROW()&lt;=15, D$8 / 3, 0), 0))), 0))</f>
        <v/>
      </c>
      <c r="E16" s="15">
        <f>IF(ISBLANK($A16), "", IFERROR(IF(E$9="By Days Present", SUMPRODUCT(((C$39:AG$39=0)/COUNTA($A$13:$A$22) + (C32:AG32/(C$39:AG$39 + (C$39:AG$39=0)))*(C$39:AG$39&gt;0)), (C$28:AG$28&lt;&gt;"") * (E$8 / $F$4)), IF(E$9="Split Equally", E$8 / COUNTA($A$13:$A$22), IF(E$9="Split (Top 3)", IF(ROW()&lt;=15, E$8 / 3, 0), 0))), 0))</f>
        <v/>
      </c>
      <c r="F16" s="15">
        <f>IF(ISBLANK($A16), "", IFERROR(IF(F$9="By Days Present", SUMPRODUCT(((C$39:AG$39=0)/COUNTA($A$13:$A$22) + (C32:AG32/(C$39:AG$39 + (C$39:AG$39=0)))*(C$39:AG$39&gt;0)), (C$28:AG$28&lt;&gt;"") * (F$8 / $F$4)), IF(F$9="Split Equally", F$8 / COUNTA($A$13:$A$22), IF(F$9="Split (Top 3)", IF(ROW()&lt;=15, F$8 / 3, 0), 0))), 0))</f>
        <v/>
      </c>
      <c r="G16" s="10">
        <f>IF(ISBLANK($A16), "", SUM(C16:F16))</f>
        <v/>
      </c>
    </row>
    <row r="17" ht="20" customHeight="1" s="29">
      <c r="A17" s="12" t="n"/>
      <c r="B17" s="13">
        <f>B33</f>
        <v/>
      </c>
      <c r="C17" s="14">
        <f>IF(ISBLANK($A17), "", IFERROR(IF(C$9="By Days Present", SUMPRODUCT((C$39:AG$39=0) + C33:AG33*(C$39:AG$39&gt;0), C$40:AG$40), IF(C$9="Split Equally", C$8 / COUNTA($A$13:$A$22), IF(C$9="Split (Top 3)", IF(ROW()&lt;=15, C$8 / 3, 0), 0))), 0))</f>
        <v/>
      </c>
      <c r="D17" s="14">
        <f>IF(ISBLANK($A17), "", IFERROR(IF(D$9="By Days Present", SUMPRODUCT(((C$39:AG$39=0)/COUNTA($A$13:$A$22) + (C33:AG33/(C$39:AG$39 + (C$39:AG$39=0)))*(C$39:AG$39&gt;0)), (C$28:AG$28&lt;&gt;"") * (D$8 / $F$4)), IF(D$9="Split Equally", D$8 / COUNTA($A$13:$A$22), IF(D$9="Split (Top 3)", IF(ROW()&lt;=15, D$8 / 3, 0), 0))), 0))</f>
        <v/>
      </c>
      <c r="E17" s="14">
        <f>IF(ISBLANK($A17), "", IFERROR(IF(E$9="By Days Present", SUMPRODUCT(((C$39:AG$39=0)/COUNTA($A$13:$A$22) + (C33:AG33/(C$39:AG$39 + (C$39:AG$39=0)))*(C$39:AG$39&gt;0)), (C$28:AG$28&lt;&gt;"") * (E$8 / $F$4)), IF(E$9="Split Equally", E$8 / COUNTA($A$13:$A$22), IF(E$9="Split (Top 3)", IF(ROW()&lt;=15, E$8 / 3, 0), 0))), 0))</f>
        <v/>
      </c>
      <c r="F17" s="14">
        <f>IF(ISBLANK($A17), "", IFERROR(IF(F$9="By Days Present", SUMPRODUCT(((C$39:AG$39=0)/COUNTA($A$13:$A$22) + (C33:AG33/(C$39:AG$39 + (C$39:AG$39=0)))*(C$39:AG$39&gt;0)), (C$28:AG$28&lt;&gt;"") * (F$8 / $F$4)), IF(F$9="Split Equally", F$8 / COUNTA($A$13:$A$22), IF(F$9="Split (Top 3)", IF(ROW()&lt;=15, F$8 / 3, 0), 0))), 0))</f>
        <v/>
      </c>
      <c r="G17" s="10">
        <f>IF(ISBLANK($A17), "", SUM(C17:F17))</f>
        <v/>
      </c>
    </row>
    <row r="18" ht="20" customHeight="1" s="29">
      <c r="A18" s="12" t="n"/>
      <c r="B18" s="13">
        <f>B34</f>
        <v/>
      </c>
      <c r="C18" s="15">
        <f>IF(ISBLANK($A18), "", IFERROR(IF(C$9="By Days Present", SUMPRODUCT((C$39:AG$39=0) + C34:AG34*(C$39:AG$39&gt;0), C$40:AG$40), IF(C$9="Split Equally", C$8 / COUNTA($A$13:$A$22), IF(C$9="Split (Top 3)", IF(ROW()&lt;=15, C$8 / 3, 0), 0))), 0))</f>
        <v/>
      </c>
      <c r="D18" s="15">
        <f>IF(ISBLANK($A18), "", IFERROR(IF(D$9="By Days Present", SUMPRODUCT(((C$39:AG$39=0)/COUNTA($A$13:$A$22) + (C34:AG34/(C$39:AG$39 + (C$39:AG$39=0)))*(C$39:AG$39&gt;0)), (C$28:AG$28&lt;&gt;"") * (D$8 / $F$4)), IF(D$9="Split Equally", D$8 / COUNTA($A$13:$A$22), IF(D$9="Split (Top 3)", IF(ROW()&lt;=15, D$8 / 3, 0), 0))), 0))</f>
        <v/>
      </c>
      <c r="E18" s="15">
        <f>IF(ISBLANK($A18), "", IFERROR(IF(E$9="By Days Present", SUMPRODUCT(((C$39:AG$39=0)/COUNTA($A$13:$A$22) + (C34:AG34/(C$39:AG$39 + (C$39:AG$39=0)))*(C$39:AG$39&gt;0)), (C$28:AG$28&lt;&gt;"") * (E$8 / $F$4)), IF(E$9="Split Equally", E$8 / COUNTA($A$13:$A$22), IF(E$9="Split (Top 3)", IF(ROW()&lt;=15, E$8 / 3, 0), 0))), 0))</f>
        <v/>
      </c>
      <c r="F18" s="15">
        <f>IF(ISBLANK($A18), "", IFERROR(IF(F$9="By Days Present", SUMPRODUCT(((C$39:AG$39=0)/COUNTA($A$13:$A$22) + (C34:AG34/(C$39:AG$39 + (C$39:AG$39=0)))*(C$39:AG$39&gt;0)), (C$28:AG$28&lt;&gt;"") * (F$8 / $F$4)), IF(F$9="Split Equally", F$8 / COUNTA($A$13:$A$22), IF(F$9="Split (Top 3)", IF(ROW()&lt;=15, F$8 / 3, 0), 0))), 0))</f>
        <v/>
      </c>
      <c r="G18" s="10">
        <f>IF(ISBLANK($A18), "", SUM(C18:F18))</f>
        <v/>
      </c>
    </row>
    <row r="19" ht="20" customHeight="1" s="29">
      <c r="A19" s="12" t="n"/>
      <c r="B19" s="13">
        <f>B35</f>
        <v/>
      </c>
      <c r="C19" s="14">
        <f>IF(ISBLANK($A19), "", IFERROR(IF(C$9="By Days Present", SUMPRODUCT((C$39:AG$39=0) + C35:AG35*(C$39:AG$39&gt;0), C$40:AG$40), IF(C$9="Split Equally", C$8 / COUNTA($A$13:$A$22), IF(C$9="Split (Top 3)", IF(ROW()&lt;=15, C$8 / 3, 0), 0))), 0))</f>
        <v/>
      </c>
      <c r="D19" s="14">
        <f>IF(ISBLANK($A19), "", IFERROR(IF(D$9="By Days Present", SUMPRODUCT(((C$39:AG$39=0)/COUNTA($A$13:$A$22) + (C35:AG35/(C$39:AG$39 + (C$39:AG$39=0)))*(C$39:AG$39&gt;0)), (C$28:AG$28&lt;&gt;"") * (D$8 / $F$4)), IF(D$9="Split Equally", D$8 / COUNTA($A$13:$A$22), IF(D$9="Split (Top 3)", IF(ROW()&lt;=15, D$8 / 3, 0), 0))), 0))</f>
        <v/>
      </c>
      <c r="E19" s="14">
        <f>IF(ISBLANK($A19), "", IFERROR(IF(E$9="By Days Present", SUMPRODUCT(((C$39:AG$39=0)/COUNTA($A$13:$A$22) + (C35:AG35/(C$39:AG$39 + (C$39:AG$39=0)))*(C$39:AG$39&gt;0)), (C$28:AG$28&lt;&gt;"") * (E$8 / $F$4)), IF(E$9="Split Equally", E$8 / COUNTA($A$13:$A$22), IF(E$9="Split (Top 3)", IF(ROW()&lt;=15, E$8 / 3, 0), 0))), 0))</f>
        <v/>
      </c>
      <c r="F19" s="14">
        <f>IF(ISBLANK($A19), "", IFERROR(IF(F$9="By Days Present", SUMPRODUCT(((C$39:AG$39=0)/COUNTA($A$13:$A$22) + (C35:AG35/(C$39:AG$39 + (C$39:AG$39=0)))*(C$39:AG$39&gt;0)), (C$28:AG$28&lt;&gt;"") * (F$8 / $F$4)), IF(F$9="Split Equally", F$8 / COUNTA($A$13:$A$22), IF(F$9="Split (Top 3)", IF(ROW()&lt;=15, F$8 / 3, 0), 0))), 0))</f>
        <v/>
      </c>
      <c r="G19" s="10">
        <f>IF(ISBLANK($A19), "", SUM(C19:F19))</f>
        <v/>
      </c>
    </row>
    <row r="20" ht="20" customHeight="1" s="29">
      <c r="A20" s="12" t="n"/>
      <c r="B20" s="13">
        <f>B36</f>
        <v/>
      </c>
      <c r="C20" s="15">
        <f>IF(ISBLANK($A20), "", IFERROR(IF(C$9="By Days Present", SUMPRODUCT((C$39:AG$39=0) + C36:AG36*(C$39:AG$39&gt;0), C$40:AG$40), IF(C$9="Split Equally", C$8 / COUNTA($A$13:$A$22), IF(C$9="Split (Top 3)", IF(ROW()&lt;=15, C$8 / 3, 0), 0))), 0))</f>
        <v/>
      </c>
      <c r="D20" s="15">
        <f>IF(ISBLANK($A20), "", IFERROR(IF(D$9="By Days Present", SUMPRODUCT(((C$39:AG$39=0)/COUNTA($A$13:$A$22) + (C36:AG36/(C$39:AG$39 + (C$39:AG$39=0)))*(C$39:AG$39&gt;0)), (C$28:AG$28&lt;&gt;"") * (D$8 / $F$4)), IF(D$9="Split Equally", D$8 / COUNTA($A$13:$A$22), IF(D$9="Split (Top 3)", IF(ROW()&lt;=15, D$8 / 3, 0), 0))), 0))</f>
        <v/>
      </c>
      <c r="E20" s="15">
        <f>IF(ISBLANK($A20), "", IFERROR(IF(E$9="By Days Present", SUMPRODUCT(((C$39:AG$39=0)/COUNTA($A$13:$A$22) + (C36:AG36/(C$39:AG$39 + (C$39:AG$39=0)))*(C$39:AG$39&gt;0)), (C$28:AG$28&lt;&gt;"") * (E$8 / $F$4)), IF(E$9="Split Equally", E$8 / COUNTA($A$13:$A$22), IF(E$9="Split (Top 3)", IF(ROW()&lt;=15, E$8 / 3, 0), 0))), 0))</f>
        <v/>
      </c>
      <c r="F20" s="15">
        <f>IF(ISBLANK($A20), "", IFERROR(IF(F$9="By Days Present", SUMPRODUCT(((C$39:AG$39=0)/COUNTA($A$13:$A$22) + (C36:AG36/(C$39:AG$39 + (C$39:AG$39=0)))*(C$39:AG$39&gt;0)), (C$28:AG$28&lt;&gt;"") * (F$8 / $F$4)), IF(F$9="Split Equally", F$8 / COUNTA($A$13:$A$22), IF(F$9="Split (Top 3)", IF(ROW()&lt;=15, F$8 / 3, 0), 0))), 0))</f>
        <v/>
      </c>
      <c r="G20" s="10">
        <f>IF(ISBLANK($A20), "", SUM(C20:F20))</f>
        <v/>
      </c>
    </row>
    <row r="21" ht="20" customHeight="1" s="29">
      <c r="A21" s="12" t="n"/>
      <c r="B21" s="13">
        <f>B37</f>
        <v/>
      </c>
      <c r="C21" s="14">
        <f>IF(ISBLANK($A21), "", IFERROR(IF(C$9="By Days Present", SUMPRODUCT((C$39:AG$39=0) + C37:AG37*(C$39:AG$39&gt;0), C$40:AG$40), IF(C$9="Split Equally", C$8 / COUNTA($A$13:$A$22), IF(C$9="Split (Top 3)", IF(ROW()&lt;=15, C$8 / 3, 0), 0))), 0))</f>
        <v/>
      </c>
      <c r="D21" s="14">
        <f>IF(ISBLANK($A21), "", IFERROR(IF(D$9="By Days Present", SUMPRODUCT(((C$39:AG$39=0)/COUNTA($A$13:$A$22) + (C37:AG37/(C$39:AG$39 + (C$39:AG$39=0)))*(C$39:AG$39&gt;0)), (C$28:AG$28&lt;&gt;"") * (D$8 / $F$4)), IF(D$9="Split Equally", D$8 / COUNTA($A$13:$A$22), IF(D$9="Split (Top 3)", IF(ROW()&lt;=15, D$8 / 3, 0), 0))), 0))</f>
        <v/>
      </c>
      <c r="E21" s="14">
        <f>IF(ISBLANK($A21), "", IFERROR(IF(E$9="By Days Present", SUMPRODUCT(((C$39:AG$39=0)/COUNTA($A$13:$A$22) + (C37:AG37/(C$39:AG$39 + (C$39:AG$39=0)))*(C$39:AG$39&gt;0)), (C$28:AG$28&lt;&gt;"") * (E$8 / $F$4)), IF(E$9="Split Equally", E$8 / COUNTA($A$13:$A$22), IF(E$9="Split (Top 3)", IF(ROW()&lt;=15, E$8 / 3, 0), 0))), 0))</f>
        <v/>
      </c>
      <c r="F21" s="14">
        <f>IF(ISBLANK($A21), "", IFERROR(IF(F$9="By Days Present", SUMPRODUCT(((C$39:AG$39=0)/COUNTA($A$13:$A$22) + (C37:AG37/(C$39:AG$39 + (C$39:AG$39=0)))*(C$39:AG$39&gt;0)), (C$28:AG$28&lt;&gt;"") * (F$8 / $F$4)), IF(F$9="Split Equally", F$8 / COUNTA($A$13:$A$22), IF(F$9="Split (Top 3)", IF(ROW()&lt;=15, F$8 / 3, 0), 0))), 0))</f>
        <v/>
      </c>
      <c r="G21" s="10">
        <f>IF(ISBLANK($A21), "", SUM(C21:F21))</f>
        <v/>
      </c>
    </row>
    <row r="22" ht="20" customHeight="1" s="29">
      <c r="A22" s="12" t="n"/>
      <c r="B22" s="13">
        <f>B38</f>
        <v/>
      </c>
      <c r="C22" s="15">
        <f>IF(ISBLANK($A22), "", IFERROR(IF(C$9="By Days Present", SUMPRODUCT((C$39:AG$39=0) + C38:AG38*(C$39:AG$39&gt;0), C$40:AG$40), IF(C$9="Split Equally", C$8 / COUNTA($A$13:$A$22), IF(C$9="Split (Top 3)", IF(ROW()&lt;=15, C$8 / 3, 0), 0))), 0))</f>
        <v/>
      </c>
      <c r="D22" s="15">
        <f>IF(ISBLANK($A22), "", IFERROR(IF(D$9="By Days Present", SUMPRODUCT(((C$39:AG$39=0)/COUNTA($A$13:$A$22) + (C38:AG38/(C$39:AG$39 + (C$39:AG$39=0)))*(C$39:AG$39&gt;0)), (C$28:AG$28&lt;&gt;"") * (D$8 / $F$4)), IF(D$9="Split Equally", D$8 / COUNTA($A$13:$A$22), IF(D$9="Split (Top 3)", IF(ROW()&lt;=15, D$8 / 3, 0), 0))), 0))</f>
        <v/>
      </c>
      <c r="E22" s="15">
        <f>IF(ISBLANK($A22), "", IFERROR(IF(E$9="By Days Present", SUMPRODUCT(((C$39:AG$39=0)/COUNTA($A$13:$A$22) + (C38:AG38/(C$39:AG$39 + (C$39:AG$39=0)))*(C$39:AG$39&gt;0)), (C$28:AG$28&lt;&gt;"") * (E$8 / $F$4)), IF(E$9="Split Equally", E$8 / COUNTA($A$13:$A$22), IF(E$9="Split (Top 3)", IF(ROW()&lt;=15, E$8 / 3, 0), 0))), 0))</f>
        <v/>
      </c>
      <c r="F22" s="15">
        <f>IF(ISBLANK($A22), "", IFERROR(IF(F$9="By Days Present", SUMPRODUCT(((C$39:AG$39=0)/COUNTA($A$13:$A$22) + (C38:AG38/(C$39:AG$39 + (C$39:AG$39=0)))*(C$39:AG$39&gt;0)), (C$28:AG$28&lt;&gt;"") * (F$8 / $F$4)), IF(F$9="Split Equally", F$8 / COUNTA($A$13:$A$22), IF(F$9="Split (Top 3)", IF(ROW()&lt;=15, F$8 / 3, 0), 0))), 0))</f>
        <v/>
      </c>
      <c r="G22" s="10">
        <f>IF(ISBLANK($A22), "", SUM(C22:F22))</f>
        <v/>
      </c>
    </row>
    <row r="23" ht="22" customHeight="1" s="29">
      <c r="A23" s="16" t="inlineStr">
        <is>
          <t>Total Allocated Share</t>
        </is>
      </c>
      <c r="B23" s="17">
        <f>SUM(B13:B22)</f>
        <v/>
      </c>
      <c r="C23" s="18">
        <f>SUM(C13:C22)</f>
        <v/>
      </c>
      <c r="D23" s="18">
        <f>SUM(D13:D22)</f>
        <v/>
      </c>
      <c r="E23" s="18">
        <f>SUM(E13:E22)</f>
        <v/>
      </c>
      <c r="F23" s="18">
        <f>SUM(F13:F22)</f>
        <v/>
      </c>
      <c r="G23" s="18">
        <f>SUM(G13:G22)</f>
        <v/>
      </c>
    </row>
    <row r="24" ht="22" customHeight="1" s="29">
      <c r="A24" s="8" t="inlineStr">
        <is>
          <t>Actual Total Bill Amount</t>
        </is>
      </c>
      <c r="B24" s="11" t="n"/>
      <c r="C24" s="14">
        <f>C8</f>
        <v/>
      </c>
      <c r="D24" s="14">
        <f>D8</f>
        <v/>
      </c>
      <c r="E24" s="14">
        <f>E8</f>
        <v/>
      </c>
      <c r="F24" s="14">
        <f>F8</f>
        <v/>
      </c>
      <c r="G24" s="19">
        <f>G8</f>
        <v/>
      </c>
    </row>
    <row r="25" ht="22" customHeight="1" s="29">
      <c r="A25" s="8" t="inlineStr">
        <is>
          <t>Reconciliation Status</t>
        </is>
      </c>
      <c r="B25" s="11" t="n"/>
      <c r="C25" s="20">
        <f>IF(ABS(C23-C24)&lt;0.01, "✔ Balanced", "❌ Unbalanced")</f>
        <v/>
      </c>
      <c r="D25" s="20">
        <f>IF(ABS(D23-D24)&lt;0.01, "✔ Balanced", "❌ Unbalanced")</f>
        <v/>
      </c>
      <c r="E25" s="20">
        <f>IF(ABS(E23-E24)&lt;0.01, "✔ Balanced", "❌ Unbalanced")</f>
        <v/>
      </c>
      <c r="F25" s="20">
        <f>IF(ABS(F23-F24)&lt;0.01, "✔ Balanced", "❌ Unbalanced")</f>
        <v/>
      </c>
      <c r="G25" s="20">
        <f>IF(ABS(G23-G24)&lt;0.01, "✔ Balanced", "❌ Unbalanced")</f>
        <v/>
      </c>
    </row>
    <row r="27" ht="24" customHeight="1" s="29">
      <c r="A27" s="31" t="inlineStr">
        <is>
          <t>3. DAILY OCCUPANCY TRACKER (Simply enter '1' for each day an occupant is present; leave blank or enter '0' if absent)</t>
        </is>
      </c>
    </row>
    <row r="28" ht="25" customHeight="1" s="29">
      <c r="A28" s="4" t="inlineStr">
        <is>
          <t>Occupant Name</t>
        </is>
      </c>
      <c r="B28" s="6" t="inlineStr">
        <is>
          <t>Total Days</t>
        </is>
      </c>
      <c r="C28" s="21">
        <f>IF(OR($B$4="", ISBLANK($B$4)), "", IF(ISNUMBER($B$4), $B$4, DATEVALUE($B$4)))</f>
        <v/>
      </c>
      <c r="D28" s="21">
        <f>IF(C28="", "", IF(C28+1 &lt;= IF(ISNUMBER($D$4), $D$4, DATEVALUE($D$4)), C28+1, ""))</f>
        <v/>
      </c>
      <c r="E28" s="21">
        <f>IF(D28="", "", IF(D28+1 &lt;= IF(ISNUMBER($D$4), $D$4, DATEVALUE($D$4)), D28+1, ""))</f>
        <v/>
      </c>
      <c r="F28" s="21">
        <f>IF(E28="", "", IF(E28+1 &lt;= IF(ISNUMBER($D$4), $D$4, DATEVALUE($D$4)), E28+1, ""))</f>
        <v/>
      </c>
      <c r="G28" s="21">
        <f>IF(F28="", "", IF(F28+1 &lt;= IF(ISNUMBER($D$4), $D$4, DATEVALUE($D$4)), F28+1, ""))</f>
        <v/>
      </c>
      <c r="H28" s="21">
        <f>IF(G28="", "", IF(G28+1 &lt;= IF(ISNUMBER($D$4), $D$4, DATEVALUE($D$4)), G28+1, ""))</f>
        <v/>
      </c>
      <c r="I28" s="21">
        <f>IF(H28="", "", IF(H28+1 &lt;= IF(ISNUMBER($D$4), $D$4, DATEVALUE($D$4)), H28+1, ""))</f>
        <v/>
      </c>
      <c r="J28" s="21">
        <f>IF(I28="", "", IF(I28+1 &lt;= IF(ISNUMBER($D$4), $D$4, DATEVALUE($D$4)), I28+1, ""))</f>
        <v/>
      </c>
      <c r="K28" s="21">
        <f>IF(J28="", "", IF(J28+1 &lt;= IF(ISNUMBER($D$4), $D$4, DATEVALUE($D$4)), J28+1, ""))</f>
        <v/>
      </c>
      <c r="L28" s="21">
        <f>IF(K28="", "", IF(K28+1 &lt;= IF(ISNUMBER($D$4), $D$4, DATEVALUE($D$4)), K28+1, ""))</f>
        <v/>
      </c>
      <c r="M28" s="21">
        <f>IF(L28="", "", IF(L28+1 &lt;= IF(ISNUMBER($D$4), $D$4, DATEVALUE($D$4)), L28+1, ""))</f>
        <v/>
      </c>
      <c r="N28" s="21">
        <f>IF(M28="", "", IF(M28+1 &lt;= IF(ISNUMBER($D$4), $D$4, DATEVALUE($D$4)), M28+1, ""))</f>
        <v/>
      </c>
      <c r="O28" s="21">
        <f>IF(N28="", "", IF(N28+1 &lt;= IF(ISNUMBER($D$4), $D$4, DATEVALUE($D$4)), N28+1, ""))</f>
        <v/>
      </c>
      <c r="P28" s="21">
        <f>IF(O28="", "", IF(O28+1 &lt;= IF(ISNUMBER($D$4), $D$4, DATEVALUE($D$4)), O28+1, ""))</f>
        <v/>
      </c>
      <c r="Q28" s="21">
        <f>IF(P28="", "", IF(P28+1 &lt;= IF(ISNUMBER($D$4), $D$4, DATEVALUE($D$4)), P28+1, ""))</f>
        <v/>
      </c>
      <c r="R28" s="21">
        <f>IF(Q28="", "", IF(Q28+1 &lt;= IF(ISNUMBER($D$4), $D$4, DATEVALUE($D$4)), Q28+1, ""))</f>
        <v/>
      </c>
      <c r="S28" s="21">
        <f>IF(R28="", "", IF(R28+1 &lt;= IF(ISNUMBER($D$4), $D$4, DATEVALUE($D$4)), R28+1, ""))</f>
        <v/>
      </c>
      <c r="T28" s="21">
        <f>IF(S28="", "", IF(S28+1 &lt;= IF(ISNUMBER($D$4), $D$4, DATEVALUE($D$4)), S28+1, ""))</f>
        <v/>
      </c>
      <c r="U28" s="21">
        <f>IF(T28="", "", IF(T28+1 &lt;= IF(ISNUMBER($D$4), $D$4, DATEVALUE($D$4)), T28+1, ""))</f>
        <v/>
      </c>
      <c r="V28" s="21">
        <f>IF(U28="", "", IF(U28+1 &lt;= IF(ISNUMBER($D$4), $D$4, DATEVALUE($D$4)), U28+1, ""))</f>
        <v/>
      </c>
      <c r="W28" s="21">
        <f>IF(V28="", "", IF(V28+1 &lt;= IF(ISNUMBER($D$4), $D$4, DATEVALUE($D$4)), V28+1, ""))</f>
        <v/>
      </c>
      <c r="X28" s="21">
        <f>IF(W28="", "", IF(W28+1 &lt;= IF(ISNUMBER($D$4), $D$4, DATEVALUE($D$4)), W28+1, ""))</f>
        <v/>
      </c>
      <c r="Y28" s="21">
        <f>IF(X28="", "", IF(X28+1 &lt;= IF(ISNUMBER($D$4), $D$4, DATEVALUE($D$4)), X28+1, ""))</f>
        <v/>
      </c>
      <c r="Z28" s="21">
        <f>IF(Y28="", "", IF(Y28+1 &lt;= IF(ISNUMBER($D$4), $D$4, DATEVALUE($D$4)), Y28+1, ""))</f>
        <v/>
      </c>
      <c r="AA28" s="21">
        <f>IF(Z28="", "", IF(Z28+1 &lt;= IF(ISNUMBER($D$4), $D$4, DATEVALUE($D$4)), Z28+1, ""))</f>
        <v/>
      </c>
      <c r="AB28" s="21">
        <f>IF(AA28="", "", IF(AA28+1 &lt;= IF(ISNUMBER($D$4), $D$4, DATEVALUE($D$4)), AA28+1, ""))</f>
        <v/>
      </c>
      <c r="AC28" s="21">
        <f>IF(AB28="", "", IF(AB28+1 &lt;= IF(ISNUMBER($D$4), $D$4, DATEVALUE($D$4)), AB28+1, ""))</f>
        <v/>
      </c>
      <c r="AD28" s="21">
        <f>IF(AC28="", "", IF(AC28+1 &lt;= IF(ISNUMBER($D$4), $D$4, DATEVALUE($D$4)), AC28+1, ""))</f>
        <v/>
      </c>
      <c r="AE28" s="21">
        <f>IF(AD28="", "", IF(AD28+1 &lt;= IF(ISNUMBER($D$4), $D$4, DATEVALUE($D$4)), AD28+1, ""))</f>
        <v/>
      </c>
      <c r="AF28" s="21">
        <f>IF(AE28="", "", IF(AE28+1 &lt;= IF(ISNUMBER($D$4), $D$4, DATEVALUE($D$4)), AE28+1, ""))</f>
        <v/>
      </c>
      <c r="AG28" s="21">
        <f>IF(AF28="", "", IF(AF28+1 &lt;= IF(ISNUMBER($D$4), $D$4, DATEVALUE($D$4)), AF28+1, ""))</f>
        <v/>
      </c>
      <c r="AH28" s="21">
        <f>IF(AG28="","",IF(AG28+1&lt;=$D$4,AG28+1,""))</f>
        <v/>
      </c>
    </row>
    <row r="29" ht="20" customHeight="1" s="29">
      <c r="A29" s="22">
        <f>A13</f>
        <v/>
      </c>
      <c r="B29" s="23">
        <f>SUMIF(C$28:AG$28, "&lt;&gt;", C29:AG29)</f>
        <v/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 ht="20" customHeight="1" s="29">
      <c r="A30" s="22">
        <f>A14</f>
        <v/>
      </c>
      <c r="B30" s="23">
        <f>SUMIF(C$28:AG$28, "&lt;&gt;", C30:AG30)</f>
        <v/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</row>
    <row r="31" ht="20" customHeight="1" s="29">
      <c r="A31" s="22">
        <f>A15</f>
        <v/>
      </c>
      <c r="B31" s="23">
        <f>SUMIF(C$28:AG$28, "&lt;&gt;", C31:AG31)</f>
        <v/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 ht="20" customHeight="1" s="29">
      <c r="A32" s="22">
        <f>A16</f>
        <v/>
      </c>
      <c r="B32" s="23">
        <f>SUMIF(C$28:AG$28, "&lt;&gt;", C32:AG32)</f>
        <v/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</row>
    <row r="33" ht="20" customHeight="1" s="29">
      <c r="A33" s="22">
        <f>A17</f>
        <v/>
      </c>
      <c r="B33" s="23">
        <f>SUMIF(C$28:AG$28, "&lt;&gt;", C33:AG33)</f>
        <v/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</row>
    <row r="34" ht="20" customHeight="1" s="29">
      <c r="A34" s="22">
        <f>A18</f>
        <v/>
      </c>
      <c r="B34" s="23">
        <f>SUMIF(C$28:AG$28, "&lt;&gt;", C34:AG34)</f>
        <v/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 ht="20" customHeight="1" s="29">
      <c r="A35" s="22">
        <f>A19</f>
        <v/>
      </c>
      <c r="B35" s="23">
        <f>SUMIF(C$28:AG$28, "&lt;&gt;", C35:AG35)</f>
        <v/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 ht="20" customHeight="1" s="29">
      <c r="A36" s="22">
        <f>A20</f>
        <v/>
      </c>
      <c r="B36" s="23">
        <f>SUMIF(C$28:AG$28, "&lt;&gt;", C36:AG36)</f>
        <v/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 ht="20" customHeight="1" s="29">
      <c r="A37" s="22">
        <f>A21</f>
        <v/>
      </c>
      <c r="B37" s="23">
        <f>SUMIF(C$28:AG$28, "&lt;&gt;", C37:AG37)</f>
        <v/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 ht="20" customHeight="1" s="29">
      <c r="A38" s="22">
        <f>A22</f>
        <v/>
      </c>
      <c r="B38" s="23">
        <f>SUMIF(C$28:AG$28, "&lt;&gt;", C38:AG38)</f>
        <v/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 ht="22" customHeight="1" s="29">
      <c r="A39" s="8" t="inlineStr">
        <is>
          <t>Total Present</t>
        </is>
      </c>
      <c r="B39" s="24">
        <f>SUM(B29:B38)</f>
        <v/>
      </c>
      <c r="C39" s="25">
        <f>IF(C$28="","",SUM(C29:C38))</f>
        <v/>
      </c>
      <c r="D39" s="25">
        <f>IF(D$28="","",SUM(D29:D38))</f>
        <v/>
      </c>
      <c r="E39" s="25">
        <f>IF(E$28="","",SUM(E29:E38))</f>
        <v/>
      </c>
      <c r="F39" s="25">
        <f>IF(F$28="","",SUM(F29:F38))</f>
        <v/>
      </c>
      <c r="G39" s="25">
        <f>IF(G$28="","",SUM(G29:G38))</f>
        <v/>
      </c>
      <c r="H39" s="25">
        <f>IF(H$28="","",SUM(H29:H38))</f>
        <v/>
      </c>
      <c r="I39" s="25">
        <f>IF(I$28="","",SUM(I29:I38))</f>
        <v/>
      </c>
      <c r="J39" s="25">
        <f>IF(J$28="","",SUM(J29:J38))</f>
        <v/>
      </c>
      <c r="K39" s="25">
        <f>IF(K$28="","",SUM(K29:K38))</f>
        <v/>
      </c>
      <c r="L39" s="25">
        <f>IF(L$28="","",SUM(L29:L38))</f>
        <v/>
      </c>
      <c r="M39" s="25">
        <f>IF(M$28="","",SUM(M29:M38))</f>
        <v/>
      </c>
      <c r="N39" s="25">
        <f>IF(N$28="","",SUM(N29:N38))</f>
        <v/>
      </c>
      <c r="O39" s="25">
        <f>IF(O$28="","",SUM(O29:O38))</f>
        <v/>
      </c>
      <c r="P39" s="25">
        <f>IF(P$28="","",SUM(P29:P38))</f>
        <v/>
      </c>
      <c r="Q39" s="25">
        <f>IF(Q$28="","",SUM(Q29:Q38))</f>
        <v/>
      </c>
      <c r="R39" s="25">
        <f>IF(R$28="","",SUM(R29:R38))</f>
        <v/>
      </c>
      <c r="S39" s="25">
        <f>IF(S$28="","",SUM(S29:S38))</f>
        <v/>
      </c>
      <c r="T39" s="25">
        <f>IF(T$28="","",SUM(T29:T38))</f>
        <v/>
      </c>
      <c r="U39" s="25">
        <f>IF(U$28="","",SUM(U29:U38))</f>
        <v/>
      </c>
      <c r="V39" s="25">
        <f>IF(V$28="","",SUM(V29:V38))</f>
        <v/>
      </c>
      <c r="W39" s="25">
        <f>IF(W$28="","",SUM(W29:W38))</f>
        <v/>
      </c>
      <c r="X39" s="25">
        <f>IF(X$28="","",SUM(X29:X38))</f>
        <v/>
      </c>
      <c r="Y39" s="25">
        <f>IF(Y$28="","",SUM(Y29:Y38))</f>
        <v/>
      </c>
      <c r="Z39" s="25">
        <f>IF(Z$28="","",SUM(Z29:Z38))</f>
        <v/>
      </c>
      <c r="AA39" s="25">
        <f>IF(AA$28="","",SUM(AA29:AA38))</f>
        <v/>
      </c>
      <c r="AB39" s="25">
        <f>IF(AB$28="","",SUM(AB29:AB38))</f>
        <v/>
      </c>
      <c r="AC39" s="25">
        <f>IF(AC$28="","",SUM(AC29:AC38))</f>
        <v/>
      </c>
      <c r="AD39" s="25">
        <f>IF(AD$28="","",SUM(AD29:AD38))</f>
        <v/>
      </c>
      <c r="AE39" s="25">
        <f>IF(AE$28="","",SUM(AE29:AE38))</f>
        <v/>
      </c>
      <c r="AF39" s="25">
        <f>IF(AF$28="","",SUM(AF29:AF38))</f>
        <v/>
      </c>
      <c r="AG39" s="25">
        <f>IF(AG$28="","",SUM(AG29:AG38))</f>
        <v/>
      </c>
    </row>
    <row r="40" ht="22" customHeight="1" s="29">
      <c r="A40" s="8" t="inlineStr">
        <is>
          <t>PUB Cost per Person/Day</t>
        </is>
      </c>
      <c r="B40" s="26">
        <f>SUM(C40:AG40)</f>
        <v/>
      </c>
      <c r="C40" s="14">
        <f>IF(C$28="", "", IF(C39&gt;0, (C$8 / $F$4) / C39, (C$8 / $F$4) / COUNTA($A$13:$A$22)))</f>
        <v/>
      </c>
      <c r="D40" s="14">
        <f>IF(D$28="", "", IF(D39&gt;0, (C$8 / $F$4) / D39, (C$8 / $F$4) / COUNTA($A$13:$A$22)))</f>
        <v/>
      </c>
      <c r="E40" s="14">
        <f>IF(E$28="", "", IF(E39&gt;0, (C$8 / $F$4) / E39, (C$8 / $F$4) / COUNTA($A$13:$A$22)))</f>
        <v/>
      </c>
      <c r="F40" s="14">
        <f>IF(F$28="", "", IF(F39&gt;0, (C$8 / $F$4) / F39, (C$8 / $F$4) / COUNTA($A$13:$A$22)))</f>
        <v/>
      </c>
      <c r="G40" s="14">
        <f>IF(G$28="", "", IF(G39&gt;0, (C$8 / $F$4) / G39, (C$8 / $F$4) / COUNTA($A$13:$A$22)))</f>
        <v/>
      </c>
      <c r="H40" s="14">
        <f>IF(H$28="", "", IF(H39&gt;0, (C$8 / $F$4) / H39, (C$8 / $F$4) / COUNTA($A$13:$A$22)))</f>
        <v/>
      </c>
      <c r="I40" s="14">
        <f>IF(I$28="", "", IF(I39&gt;0, (C$8 / $F$4) / I39, (C$8 / $F$4) / COUNTA($A$13:$A$22)))</f>
        <v/>
      </c>
      <c r="J40" s="14">
        <f>IF(J$28="", "", IF(J39&gt;0, (C$8 / $F$4) / J39, (C$8 / $F$4) / COUNTA($A$13:$A$22)))</f>
        <v/>
      </c>
      <c r="K40" s="14">
        <f>IF(K$28="", "", IF(K39&gt;0, (C$8 / $F$4) / K39, (C$8 / $F$4) / COUNTA($A$13:$A$22)))</f>
        <v/>
      </c>
      <c r="L40" s="14">
        <f>IF(L$28="", "", IF(L39&gt;0, (C$8 / $F$4) / L39, (C$8 / $F$4) / COUNTA($A$13:$A$22)))</f>
        <v/>
      </c>
      <c r="M40" s="14">
        <f>IF(M$28="", "", IF(M39&gt;0, (C$8 / $F$4) / M39, (C$8 / $F$4) / COUNTA($A$13:$A$22)))</f>
        <v/>
      </c>
      <c r="N40" s="14">
        <f>IF(N$28="", "", IF(N39&gt;0, (C$8 / $F$4) / N39, (C$8 / $F$4) / COUNTA($A$13:$A$22)))</f>
        <v/>
      </c>
      <c r="O40" s="14">
        <f>IF(O$28="", "", IF(O39&gt;0, (C$8 / $F$4) / O39, (C$8 / $F$4) / COUNTA($A$13:$A$22)))</f>
        <v/>
      </c>
      <c r="P40" s="14">
        <f>IF(P$28="", "", IF(P39&gt;0, (C$8 / $F$4) / P39, (C$8 / $F$4) / COUNTA($A$13:$A$22)))</f>
        <v/>
      </c>
      <c r="Q40" s="14">
        <f>IF(Q$28="", "", IF(Q39&gt;0, (C$8 / $F$4) / Q39, (C$8 / $F$4) / COUNTA($A$13:$A$22)))</f>
        <v/>
      </c>
      <c r="R40" s="14">
        <f>IF(R$28="", "", IF(R39&gt;0, (C$8 / $F$4) / R39, (C$8 / $F$4) / COUNTA($A$13:$A$22)))</f>
        <v/>
      </c>
      <c r="S40" s="14">
        <f>IF(S$28="", "", IF(S39&gt;0, (C$8 / $F$4) / S39, (C$8 / $F$4) / COUNTA($A$13:$A$22)))</f>
        <v/>
      </c>
      <c r="T40" s="14">
        <f>IF(T$28="", "", IF(T39&gt;0, (C$8 / $F$4) / T39, (C$8 / $F$4) / COUNTA($A$13:$A$22)))</f>
        <v/>
      </c>
      <c r="U40" s="14">
        <f>IF(U$28="", "", IF(U39&gt;0, (C$8 / $F$4) / U39, (C$8 / $F$4) / COUNTA($A$13:$A$22)))</f>
        <v/>
      </c>
      <c r="V40" s="14">
        <f>IF(V$28="", "", IF(V39&gt;0, (C$8 / $F$4) / V39, (C$8 / $F$4) / COUNTA($A$13:$A$22)))</f>
        <v/>
      </c>
      <c r="W40" s="14">
        <f>IF(W$28="", "", IF(W39&gt;0, (C$8 / $F$4) / W39, (C$8 / $F$4) / COUNTA($A$13:$A$22)))</f>
        <v/>
      </c>
      <c r="X40" s="14">
        <f>IF(X$28="", "", IF(X39&gt;0, (C$8 / $F$4) / X39, (C$8 / $F$4) / COUNTA($A$13:$A$22)))</f>
        <v/>
      </c>
      <c r="Y40" s="14">
        <f>IF(Y$28="", "", IF(Y39&gt;0, (C$8 / $F$4) / Y39, (C$8 / $F$4) / COUNTA($A$13:$A$22)))</f>
        <v/>
      </c>
      <c r="Z40" s="14">
        <f>IF(Z$28="", "", IF(Z39&gt;0, (C$8 / $F$4) / Z39, (C$8 / $F$4) / COUNTA($A$13:$A$22)))</f>
        <v/>
      </c>
      <c r="AA40" s="14">
        <f>IF(AA$28="", "", IF(AA39&gt;0, (C$8 / $F$4) / AA39, (C$8 / $F$4) / COUNTA($A$13:$A$22)))</f>
        <v/>
      </c>
      <c r="AB40" s="14">
        <f>IF(AB$28="", "", IF(AB39&gt;0, (C$8 / $F$4) / AB39, (C$8 / $F$4) / COUNTA($A$13:$A$22)))</f>
        <v/>
      </c>
      <c r="AC40" s="14">
        <f>IF(AC$28="", "", IF(AC39&gt;0, (C$8 / $F$4) / AC39, (C$8 / $F$4) / COUNTA($A$13:$A$22)))</f>
        <v/>
      </c>
      <c r="AD40" s="14">
        <f>IF(AD$28="", "", IF(AD39&gt;0, (C$8 / $F$4) / AD39, (C$8 / $F$4) / COUNTA($A$13:$A$22)))</f>
        <v/>
      </c>
      <c r="AE40" s="14">
        <f>IF(AE$28="", "", IF(AE39&gt;0, (C$8 / $F$4) / AE39, (C$8 / $F$4) / COUNTA($A$13:$A$22)))</f>
        <v/>
      </c>
      <c r="AF40" s="14">
        <f>IF(AF$28="", "", IF(AF39&gt;0, (C$8 / $F$4) / AF39, (C$8 / $F$4) / COUNTA($A$13:$A$22)))</f>
        <v/>
      </c>
      <c r="AG40" s="14">
        <f>IF(AG$28="", "", IF(AG39&gt;0, (C$8 / $F$4) / AG39, (C$8 / $F$4) / COUNTA($A$13:$A$22)))</f>
        <v/>
      </c>
    </row>
    <row r="42" ht="16" customHeight="1" s="29">
      <c r="A42" s="34" t="inlineStr">
        <is>
          <t>HOW TO USE THIS SHEET:</t>
        </is>
      </c>
    </row>
    <row r="43" ht="18" customHeight="1" s="29">
      <c r="A43" s="28" t="inlineStr">
        <is>
          <t>1. Enter Billing Start/End Dates in B4/D4. The billing days calculate automatically.</t>
        </is>
      </c>
    </row>
    <row r="44" ht="18" customHeight="1" s="29">
      <c r="A44" s="28" t="inlineStr">
        <is>
          <t>2. Rename any of the utility headers (C7:F7) as needed (e.g., replace 'Custom 1' with 'Netflix' or 'Gas').</t>
        </is>
      </c>
    </row>
    <row r="45" ht="18" customHeight="1" s="29">
      <c r="A45" s="28" t="inlineStr">
        <is>
          <t>3. Enter the total bill for each utility in the green boxes (C8:F8).</t>
        </is>
      </c>
    </row>
    <row r="46" ht="18" customHeight="1" s="29">
      <c r="A46" s="28" t="inlineStr">
        <is>
          <t>4. Choose split methods in green boxes (C9:F9) - choose 'By Days Present' for variable bills (like PUB), 'Split Equally' for flat bills, or 'Split (Top 3)' to split equally among the first 3 occupants only.</t>
        </is>
      </c>
    </row>
    <row r="47" ht="18" customHeight="1" s="29">
      <c r="A47" s="28" t="inlineStr">
        <is>
          <t>5. Enter occupant names in green boxes A13:A22. They will mirror automatically in the daily tracker.</t>
        </is>
      </c>
    </row>
    <row r="48" ht="18" customHeight="1" s="29">
      <c r="A48" s="28" t="inlineStr">
        <is>
          <t>6. In Section 3 (Daily Occupancy Tracker), enter '1' in the green day columns for each day an occupant is present. Leave blank or enter '0' if they are away.</t>
        </is>
      </c>
    </row>
    <row r="49" ht="18" customHeight="1" s="29">
      <c r="A49" s="28" t="inlineStr">
        <is>
          <t>7. Note: The Day columns in Section 3 link to dates in B4/D4. Changing dates will automatically gray out and disable inactive columns.</t>
        </is>
      </c>
    </row>
    <row r="50" ht="18" customHeight="1" s="29">
      <c r="A50" s="32" t="inlineStr">
        <is>
          <t>💡 Verification status displays '✔ Balanced' when individual shares match the total bill. If some people were away, PUB will show '❌ Unbalanced' to reflect the unallocated vacancy cost of empty days.</t>
        </is>
      </c>
    </row>
  </sheetData>
  <mergeCells count="14">
    <mergeCell ref="A44:G44"/>
    <mergeCell ref="A27:AG27"/>
    <mergeCell ref="A1:G1"/>
    <mergeCell ref="A6:G6"/>
    <mergeCell ref="A50:G50"/>
    <mergeCell ref="A48:G48"/>
    <mergeCell ref="A2:G2"/>
    <mergeCell ref="A42:G42"/>
    <mergeCell ref="A43:G43"/>
    <mergeCell ref="A11:G11"/>
    <mergeCell ref="A49:G49"/>
    <mergeCell ref="A47:G47"/>
    <mergeCell ref="A45:G45"/>
    <mergeCell ref="A46:G46"/>
  </mergeCells>
  <conditionalFormatting sqref="C28:AG40">
    <cfRule type="expression" priority="1" dxfId="0" stopIfTrue="1">
      <formula>C$28=""</formula>
    </cfRule>
  </conditionalFormatting>
  <dataValidations count="1">
    <dataValidation sqref="C9:F9" showDropDown="0" showInputMessage="0" showErrorMessage="0" allowBlank="0" errorTitle="Invalid Entry" error="Your entry is not in the list" promptTitle="Split Method" prompt="Please select a split method" type="list">
      <formula1>"By Days Present,Split Equally,Split (Top 3)"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0"/>
  <sheetViews>
    <sheetView workbookViewId="0">
      <selection activeCell="A1" sqref="A1"/>
    </sheetView>
  </sheetViews>
  <sheetFormatPr baseColWidth="10" defaultColWidth="8.83203125" defaultRowHeight="15"/>
  <cols>
    <col width="24" customWidth="1" style="29" min="1" max="1"/>
    <col width="16" customWidth="1" style="29" min="2" max="2"/>
    <col width="6" customWidth="1" style="29" min="3" max="33"/>
  </cols>
  <sheetData>
    <row r="1" ht="30" customHeight="1" s="29">
      <c r="A1" s="30" t="inlineStr">
        <is>
          <t>HOUSEHOLD UTILITY BILL CALCULATOR - APRIL 2027</t>
        </is>
      </c>
    </row>
    <row r="2" ht="20" customHeight="1" s="29">
      <c r="A2" s="33" t="inlineStr">
        <is>
          <t>Distribute shared bills dynamically by days present or equal split. Edit the green shaded cells; formulas do the rest.</t>
        </is>
      </c>
    </row>
    <row r="4" ht="22" customHeight="1" s="29">
      <c r="A4" s="34" t="inlineStr">
        <is>
          <t>Billing Start Date:</t>
        </is>
      </c>
      <c r="B4" s="35" t="n">
        <v>46478</v>
      </c>
      <c r="C4" s="34" t="inlineStr">
        <is>
          <t>Billing End Date:</t>
        </is>
      </c>
      <c r="D4" s="35" t="n">
        <v>46507</v>
      </c>
      <c r="E4" s="34" t="inlineStr">
        <is>
          <t>Billing Period Days:</t>
        </is>
      </c>
      <c r="F4" s="3">
        <f>IF(AND($B$4&lt;&gt;"", $D$4&lt;&gt;""), IF(ISNUMBER($D$4), $D$4, DATEVALUE($D$4)) - IF(ISNUMBER($B$4), $B$4, DATEVALUE($B$4)) + 1, "")</f>
        <v/>
      </c>
    </row>
    <row r="6" ht="24" customHeight="1" s="29">
      <c r="A6" s="31" t="inlineStr">
        <is>
          <t>1. UTILITY CONFIGURATION</t>
        </is>
      </c>
    </row>
    <row r="7" ht="25" customHeight="1" s="29">
      <c r="A7" s="4" t="inlineStr">
        <is>
          <t>Utility Item</t>
        </is>
      </c>
      <c r="B7" s="5" t="inlineStr">
        <is>
          <t>Label Description</t>
        </is>
      </c>
      <c r="C7" s="6" t="inlineStr">
        <is>
          <t>PUB</t>
        </is>
      </c>
      <c r="D7" s="6" t="inlineStr">
        <is>
          <t>Internet</t>
        </is>
      </c>
      <c r="E7" s="6" t="inlineStr">
        <is>
          <t>Custom 1</t>
        </is>
      </c>
      <c r="F7" s="6" t="inlineStr">
        <is>
          <t>Custom 2</t>
        </is>
      </c>
      <c r="G7" s="7" t="inlineStr">
        <is>
          <t>TOTAL BILL</t>
        </is>
      </c>
    </row>
    <row r="8" ht="22" customHeight="1" s="29">
      <c r="A8" s="8" t="inlineStr">
        <is>
          <t>Total Bill Amount</t>
        </is>
      </c>
      <c r="B8" s="5" t="inlineStr">
        <is>
          <t>Enter costs -&gt;</t>
        </is>
      </c>
      <c r="C8" s="9" t="n">
        <v>150</v>
      </c>
      <c r="D8" s="9" t="n">
        <v>43.7</v>
      </c>
      <c r="E8" s="9" t="n">
        <v>0</v>
      </c>
      <c r="F8" s="9" t="n">
        <v>0</v>
      </c>
      <c r="G8" s="10">
        <f>SUM(C8:F8)</f>
        <v/>
      </c>
    </row>
    <row r="9" ht="22" customHeight="1" s="29">
      <c r="A9" s="8" t="inlineStr">
        <is>
          <t>Split Method</t>
        </is>
      </c>
      <c r="B9" s="5" t="inlineStr">
        <is>
          <t>Choose method -&gt;</t>
        </is>
      </c>
      <c r="C9" s="2" t="inlineStr">
        <is>
          <t>By Days Present</t>
        </is>
      </c>
      <c r="D9" s="2" t="inlineStr">
        <is>
          <t>Split (Top 3)</t>
        </is>
      </c>
      <c r="E9" s="2" t="inlineStr">
        <is>
          <t>Split Equally</t>
        </is>
      </c>
      <c r="F9" s="2" t="inlineStr">
        <is>
          <t>Split Equally</t>
        </is>
      </c>
      <c r="G9" s="11" t="n"/>
    </row>
    <row r="11" ht="24" customHeight="1" s="29">
      <c r="A11" s="31" t="inlineStr">
        <is>
          <t>2. OCCUPANT DETAIL &amp; BILL DIVISION</t>
        </is>
      </c>
    </row>
    <row r="12" ht="25" customHeight="1" s="29">
      <c r="A12" s="4" t="inlineStr">
        <is>
          <t>Occupant Name</t>
        </is>
      </c>
      <c r="B12" s="6" t="inlineStr">
        <is>
          <t>Days Present</t>
        </is>
      </c>
      <c r="C12" s="6" t="inlineStr">
        <is>
          <t>PUB Share</t>
        </is>
      </c>
      <c r="D12" s="6" t="inlineStr">
        <is>
          <t>Internet Share</t>
        </is>
      </c>
      <c r="E12" s="6" t="inlineStr">
        <is>
          <t>Custom 1</t>
        </is>
      </c>
      <c r="F12" s="6" t="inlineStr">
        <is>
          <t>Custom 2</t>
        </is>
      </c>
      <c r="G12" s="7" t="inlineStr">
        <is>
          <t>Total Owed</t>
        </is>
      </c>
    </row>
    <row r="13" ht="20" customHeight="1" s="29">
      <c r="A13" s="12" t="inlineStr">
        <is>
          <t>Alex</t>
        </is>
      </c>
      <c r="B13" s="13">
        <f>B29</f>
        <v/>
      </c>
      <c r="C13" s="14">
        <f>IF(ISBLANK($A13), "", IFERROR(IF(C$9="By Days Present", SUMPRODUCT((C$39:AG$39=0) + C29:AG29*(C$39:AG$39&gt;0), C$40:AG$40), IF(C$9="Split Equally", C$8 / COUNTA($A$13:$A$22), IF(C$9="Split (Top 3)", IF(ROW()&lt;=15, C$8 / 3, 0), 0))), 0))</f>
        <v/>
      </c>
      <c r="D13" s="14">
        <f>IF(ISBLANK($A13), "", IFERROR(IF(D$9="By Days Present", SUMPRODUCT(((C$39:AG$39=0)/COUNTA($A$13:$A$22) + (C29:AG29/(C$39:AG$39 + (C$39:AG$39=0)))*(C$39:AG$39&gt;0)), (C$28:AG$28&lt;&gt;"") * (D$8 / $F$4)), IF(D$9="Split Equally", D$8 / COUNTA($A$13:$A$22), IF(D$9="Split (Top 3)", IF(ROW()&lt;=15, D$8 / 3, 0), 0))), 0))</f>
        <v/>
      </c>
      <c r="E13" s="14">
        <f>IF(ISBLANK($A13), "", IFERROR(IF(E$9="By Days Present", SUMPRODUCT(((C$39:AG$39=0)/COUNTA($A$13:$A$22) + (C29:AG29/(C$39:AG$39 + (C$39:AG$39=0)))*(C$39:AG$39&gt;0)), (C$28:AG$28&lt;&gt;"") * (E$8 / $F$4)), IF(E$9="Split Equally", E$8 / COUNTA($A$13:$A$22), IF(E$9="Split (Top 3)", IF(ROW()&lt;=15, E$8 / 3, 0), 0))), 0))</f>
        <v/>
      </c>
      <c r="F13" s="14">
        <f>IF(ISBLANK($A13), "", IFERROR(IF(F$9="By Days Present", SUMPRODUCT(((C$39:AG$39=0)/COUNTA($A$13:$A$22) + (C29:AG29/(C$39:AG$39 + (C$39:AG$39=0)))*(C$39:AG$39&gt;0)), (C$28:AG$28&lt;&gt;"") * (F$8 / $F$4)), IF(F$9="Split Equally", F$8 / COUNTA($A$13:$A$22), IF(F$9="Split (Top 3)", IF(ROW()&lt;=15, F$8 / 3, 0), 0))), 0))</f>
        <v/>
      </c>
      <c r="G13" s="10">
        <f>IF(ISBLANK($A13), "", SUM(C13:F13))</f>
        <v/>
      </c>
    </row>
    <row r="14" ht="20" customHeight="1" s="29">
      <c r="A14" s="12" t="inlineStr">
        <is>
          <t>Jordan</t>
        </is>
      </c>
      <c r="B14" s="13">
        <f>B30</f>
        <v/>
      </c>
      <c r="C14" s="15">
        <f>IF(ISBLANK($A14), "", IFERROR(IF(C$9="By Days Present", SUMPRODUCT((C$39:AG$39=0) + C30:AG30*(C$39:AG$39&gt;0), C$40:AG$40), IF(C$9="Split Equally", C$8 / COUNTA($A$13:$A$22), IF(C$9="Split (Top 3)", IF(ROW()&lt;=15, C$8 / 3, 0), 0))), 0))</f>
        <v/>
      </c>
      <c r="D14" s="15">
        <f>IF(ISBLANK($A14), "", IFERROR(IF(D$9="By Days Present", SUMPRODUCT(((C$39:AG$39=0)/COUNTA($A$13:$A$22) + (C30:AG30/(C$39:AG$39 + (C$39:AG$39=0)))*(C$39:AG$39&gt;0)), (C$28:AG$28&lt;&gt;"") * (D$8 / $F$4)), IF(D$9="Split Equally", D$8 / COUNTA($A$13:$A$22), IF(D$9="Split (Top 3)", IF(ROW()&lt;=15, D$8 / 3, 0), 0))), 0))</f>
        <v/>
      </c>
      <c r="E14" s="15">
        <f>IF(ISBLANK($A14), "", IFERROR(IF(E$9="By Days Present", SUMPRODUCT(((C$39:AG$39=0)/COUNTA($A$13:$A$22) + (C30:AG30/(C$39:AG$39 + (C$39:AG$39=0)))*(C$39:AG$39&gt;0)), (C$28:AG$28&lt;&gt;"") * (E$8 / $F$4)), IF(E$9="Split Equally", E$8 / COUNTA($A$13:$A$22), IF(E$9="Split (Top 3)", IF(ROW()&lt;=15, E$8 / 3, 0), 0))), 0))</f>
        <v/>
      </c>
      <c r="F14" s="15">
        <f>IF(ISBLANK($A14), "", IFERROR(IF(F$9="By Days Present", SUMPRODUCT(((C$39:AG$39=0)/COUNTA($A$13:$A$22) + (C30:AG30/(C$39:AG$39 + (C$39:AG$39=0)))*(C$39:AG$39&gt;0)), (C$28:AG$28&lt;&gt;"") * (F$8 / $F$4)), IF(F$9="Split Equally", F$8 / COUNTA($A$13:$A$22), IF(F$9="Split (Top 3)", IF(ROW()&lt;=15, F$8 / 3, 0), 0))), 0))</f>
        <v/>
      </c>
      <c r="G14" s="10">
        <f>IF(ISBLANK($A14), "", SUM(C14:F14))</f>
        <v/>
      </c>
    </row>
    <row r="15" ht="20" customHeight="1" s="29">
      <c r="A15" s="12" t="inlineStr">
        <is>
          <t>Morgan</t>
        </is>
      </c>
      <c r="B15" s="13">
        <f>B31</f>
        <v/>
      </c>
      <c r="C15" s="14">
        <f>IF(ISBLANK($A15), "", IFERROR(IF(C$9="By Days Present", SUMPRODUCT((C$39:AG$39=0) + C31:AG31*(C$39:AG$39&gt;0), C$40:AG$40), IF(C$9="Split Equally", C$8 / COUNTA($A$13:$A$22), IF(C$9="Split (Top 3)", IF(ROW()&lt;=15, C$8 / 3, 0), 0))), 0))</f>
        <v/>
      </c>
      <c r="D15" s="14">
        <f>IF(ISBLANK($A15), "", IFERROR(IF(D$9="By Days Present", SUMPRODUCT(((C$39:AG$39=0)/COUNTA($A$13:$A$22) + (C31:AG31/(C$39:AG$39 + (C$39:AG$39=0)))*(C$39:AG$39&gt;0)), (C$28:AG$28&lt;&gt;"") * (D$8 / $F$4)), IF(D$9="Split Equally", D$8 / COUNTA($A$13:$A$22), IF(D$9="Split (Top 3)", IF(ROW()&lt;=15, D$8 / 3, 0), 0))), 0))</f>
        <v/>
      </c>
      <c r="E15" s="14">
        <f>IF(ISBLANK($A15), "", IFERROR(IF(E$9="By Days Present", SUMPRODUCT(((C$39:AG$39=0)/COUNTA($A$13:$A$22) + (C31:AG31/(C$39:AG$39 + (C$39:AG$39=0)))*(C$39:AG$39&gt;0)), (C$28:AG$28&lt;&gt;"") * (E$8 / $F$4)), IF(E$9="Split Equally", E$8 / COUNTA($A$13:$A$22), IF(E$9="Split (Top 3)", IF(ROW()&lt;=15, E$8 / 3, 0), 0))), 0))</f>
        <v/>
      </c>
      <c r="F15" s="14">
        <f>IF(ISBLANK($A15), "", IFERROR(IF(F$9="By Days Present", SUMPRODUCT(((C$39:AG$39=0)/COUNTA($A$13:$A$22) + (C31:AG31/(C$39:AG$39 + (C$39:AG$39=0)))*(C$39:AG$39&gt;0)), (C$28:AG$28&lt;&gt;"") * (F$8 / $F$4)), IF(F$9="Split Equally", F$8 / COUNTA($A$13:$A$22), IF(F$9="Split (Top 3)", IF(ROW()&lt;=15, F$8 / 3, 0), 0))), 0))</f>
        <v/>
      </c>
      <c r="G15" s="10">
        <f>IF(ISBLANK($A15), "", SUM(C15:F15))</f>
        <v/>
      </c>
    </row>
    <row r="16" ht="20" customHeight="1" s="29">
      <c r="A16" s="12" t="inlineStr">
        <is>
          <t>Taylor</t>
        </is>
      </c>
      <c r="B16" s="13">
        <f>B32</f>
        <v/>
      </c>
      <c r="C16" s="15">
        <f>IF(ISBLANK($A16), "", IFERROR(IF(C$9="By Days Present", SUMPRODUCT((C$39:AG$39=0) + C32:AG32*(C$39:AG$39&gt;0), C$40:AG$40), IF(C$9="Split Equally", C$8 / COUNTA($A$13:$A$22), IF(C$9="Split (Top 3)", IF(ROW()&lt;=15, C$8 / 3, 0), 0))), 0))</f>
        <v/>
      </c>
      <c r="D16" s="15">
        <f>IF(ISBLANK($A16), "", IFERROR(IF(D$9="By Days Present", SUMPRODUCT(((C$39:AG$39=0)/COUNTA($A$13:$A$22) + (C32:AG32/(C$39:AG$39 + (C$39:AG$39=0)))*(C$39:AG$39&gt;0)), (C$28:AG$28&lt;&gt;"") * (D$8 / $F$4)), IF(D$9="Split Equally", D$8 / COUNTA($A$13:$A$22), IF(D$9="Split (Top 3)", IF(ROW()&lt;=15, D$8 / 3, 0), 0))), 0))</f>
        <v/>
      </c>
      <c r="E16" s="15">
        <f>IF(ISBLANK($A16), "", IFERROR(IF(E$9="By Days Present", SUMPRODUCT(((C$39:AG$39=0)/COUNTA($A$13:$A$22) + (C32:AG32/(C$39:AG$39 + (C$39:AG$39=0)))*(C$39:AG$39&gt;0)), (C$28:AG$28&lt;&gt;"") * (E$8 / $F$4)), IF(E$9="Split Equally", E$8 / COUNTA($A$13:$A$22), IF(E$9="Split (Top 3)", IF(ROW()&lt;=15, E$8 / 3, 0), 0))), 0))</f>
        <v/>
      </c>
      <c r="F16" s="15">
        <f>IF(ISBLANK($A16), "", IFERROR(IF(F$9="By Days Present", SUMPRODUCT(((C$39:AG$39=0)/COUNTA($A$13:$A$22) + (C32:AG32/(C$39:AG$39 + (C$39:AG$39=0)))*(C$39:AG$39&gt;0)), (C$28:AG$28&lt;&gt;"") * (F$8 / $F$4)), IF(F$9="Split Equally", F$8 / COUNTA($A$13:$A$22), IF(F$9="Split (Top 3)", IF(ROW()&lt;=15, F$8 / 3, 0), 0))), 0))</f>
        <v/>
      </c>
      <c r="G16" s="10">
        <f>IF(ISBLANK($A16), "", SUM(C16:F16))</f>
        <v/>
      </c>
    </row>
    <row r="17" ht="20" customHeight="1" s="29">
      <c r="A17" s="12" t="n"/>
      <c r="B17" s="13">
        <f>B33</f>
        <v/>
      </c>
      <c r="C17" s="14">
        <f>IF(ISBLANK($A17), "", IFERROR(IF(C$9="By Days Present", SUMPRODUCT((C$39:AG$39=0) + C33:AG33*(C$39:AG$39&gt;0), C$40:AG$40), IF(C$9="Split Equally", C$8 / COUNTA($A$13:$A$22), IF(C$9="Split (Top 3)", IF(ROW()&lt;=15, C$8 / 3, 0), 0))), 0))</f>
        <v/>
      </c>
      <c r="D17" s="14">
        <f>IF(ISBLANK($A17), "", IFERROR(IF(D$9="By Days Present", SUMPRODUCT(((C$39:AG$39=0)/COUNTA($A$13:$A$22) + (C33:AG33/(C$39:AG$39 + (C$39:AG$39=0)))*(C$39:AG$39&gt;0)), (C$28:AG$28&lt;&gt;"") * (D$8 / $F$4)), IF(D$9="Split Equally", D$8 / COUNTA($A$13:$A$22), IF(D$9="Split (Top 3)", IF(ROW()&lt;=15, D$8 / 3, 0), 0))), 0))</f>
        <v/>
      </c>
      <c r="E17" s="14">
        <f>IF(ISBLANK($A17), "", IFERROR(IF(E$9="By Days Present", SUMPRODUCT(((C$39:AG$39=0)/COUNTA($A$13:$A$22) + (C33:AG33/(C$39:AG$39 + (C$39:AG$39=0)))*(C$39:AG$39&gt;0)), (C$28:AG$28&lt;&gt;"") * (E$8 / $F$4)), IF(E$9="Split Equally", E$8 / COUNTA($A$13:$A$22), IF(E$9="Split (Top 3)", IF(ROW()&lt;=15, E$8 / 3, 0), 0))), 0))</f>
        <v/>
      </c>
      <c r="F17" s="14">
        <f>IF(ISBLANK($A17), "", IFERROR(IF(F$9="By Days Present", SUMPRODUCT(((C$39:AG$39=0)/COUNTA($A$13:$A$22) + (C33:AG33/(C$39:AG$39 + (C$39:AG$39=0)))*(C$39:AG$39&gt;0)), (C$28:AG$28&lt;&gt;"") * (F$8 / $F$4)), IF(F$9="Split Equally", F$8 / COUNTA($A$13:$A$22), IF(F$9="Split (Top 3)", IF(ROW()&lt;=15, F$8 / 3, 0), 0))), 0))</f>
        <v/>
      </c>
      <c r="G17" s="10">
        <f>IF(ISBLANK($A17), "", SUM(C17:F17))</f>
        <v/>
      </c>
    </row>
    <row r="18" ht="20" customHeight="1" s="29">
      <c r="A18" s="12" t="n"/>
      <c r="B18" s="13">
        <f>B34</f>
        <v/>
      </c>
      <c r="C18" s="15">
        <f>IF(ISBLANK($A18), "", IFERROR(IF(C$9="By Days Present", SUMPRODUCT((C$39:AG$39=0) + C34:AG34*(C$39:AG$39&gt;0), C$40:AG$40), IF(C$9="Split Equally", C$8 / COUNTA($A$13:$A$22), IF(C$9="Split (Top 3)", IF(ROW()&lt;=15, C$8 / 3, 0), 0))), 0))</f>
        <v/>
      </c>
      <c r="D18" s="15">
        <f>IF(ISBLANK($A18), "", IFERROR(IF(D$9="By Days Present", SUMPRODUCT(((C$39:AG$39=0)/COUNTA($A$13:$A$22) + (C34:AG34/(C$39:AG$39 + (C$39:AG$39=0)))*(C$39:AG$39&gt;0)), (C$28:AG$28&lt;&gt;"") * (D$8 / $F$4)), IF(D$9="Split Equally", D$8 / COUNTA($A$13:$A$22), IF(D$9="Split (Top 3)", IF(ROW()&lt;=15, D$8 / 3, 0), 0))), 0))</f>
        <v/>
      </c>
      <c r="E18" s="15">
        <f>IF(ISBLANK($A18), "", IFERROR(IF(E$9="By Days Present", SUMPRODUCT(((C$39:AG$39=0)/COUNTA($A$13:$A$22) + (C34:AG34/(C$39:AG$39 + (C$39:AG$39=0)))*(C$39:AG$39&gt;0)), (C$28:AG$28&lt;&gt;"") * (E$8 / $F$4)), IF(E$9="Split Equally", E$8 / COUNTA($A$13:$A$22), IF(E$9="Split (Top 3)", IF(ROW()&lt;=15, E$8 / 3, 0), 0))), 0))</f>
        <v/>
      </c>
      <c r="F18" s="15">
        <f>IF(ISBLANK($A18), "", IFERROR(IF(F$9="By Days Present", SUMPRODUCT(((C$39:AG$39=0)/COUNTA($A$13:$A$22) + (C34:AG34/(C$39:AG$39 + (C$39:AG$39=0)))*(C$39:AG$39&gt;0)), (C$28:AG$28&lt;&gt;"") * (F$8 / $F$4)), IF(F$9="Split Equally", F$8 / COUNTA($A$13:$A$22), IF(F$9="Split (Top 3)", IF(ROW()&lt;=15, F$8 / 3, 0), 0))), 0))</f>
        <v/>
      </c>
      <c r="G18" s="10">
        <f>IF(ISBLANK($A18), "", SUM(C18:F18))</f>
        <v/>
      </c>
    </row>
    <row r="19" ht="20" customHeight="1" s="29">
      <c r="A19" s="12" t="n"/>
      <c r="B19" s="13">
        <f>B35</f>
        <v/>
      </c>
      <c r="C19" s="14">
        <f>IF(ISBLANK($A19), "", IFERROR(IF(C$9="By Days Present", SUMPRODUCT((C$39:AG$39=0) + C35:AG35*(C$39:AG$39&gt;0), C$40:AG$40), IF(C$9="Split Equally", C$8 / COUNTA($A$13:$A$22), IF(C$9="Split (Top 3)", IF(ROW()&lt;=15, C$8 / 3, 0), 0))), 0))</f>
        <v/>
      </c>
      <c r="D19" s="14">
        <f>IF(ISBLANK($A19), "", IFERROR(IF(D$9="By Days Present", SUMPRODUCT(((C$39:AG$39=0)/COUNTA($A$13:$A$22) + (C35:AG35/(C$39:AG$39 + (C$39:AG$39=0)))*(C$39:AG$39&gt;0)), (C$28:AG$28&lt;&gt;"") * (D$8 / $F$4)), IF(D$9="Split Equally", D$8 / COUNTA($A$13:$A$22), IF(D$9="Split (Top 3)", IF(ROW()&lt;=15, D$8 / 3, 0), 0))), 0))</f>
        <v/>
      </c>
      <c r="E19" s="14">
        <f>IF(ISBLANK($A19), "", IFERROR(IF(E$9="By Days Present", SUMPRODUCT(((C$39:AG$39=0)/COUNTA($A$13:$A$22) + (C35:AG35/(C$39:AG$39 + (C$39:AG$39=0)))*(C$39:AG$39&gt;0)), (C$28:AG$28&lt;&gt;"") * (E$8 / $F$4)), IF(E$9="Split Equally", E$8 / COUNTA($A$13:$A$22), IF(E$9="Split (Top 3)", IF(ROW()&lt;=15, E$8 / 3, 0), 0))), 0))</f>
        <v/>
      </c>
      <c r="F19" s="14">
        <f>IF(ISBLANK($A19), "", IFERROR(IF(F$9="By Days Present", SUMPRODUCT(((C$39:AG$39=0)/COUNTA($A$13:$A$22) + (C35:AG35/(C$39:AG$39 + (C$39:AG$39=0)))*(C$39:AG$39&gt;0)), (C$28:AG$28&lt;&gt;"") * (F$8 / $F$4)), IF(F$9="Split Equally", F$8 / COUNTA($A$13:$A$22), IF(F$9="Split (Top 3)", IF(ROW()&lt;=15, F$8 / 3, 0), 0))), 0))</f>
        <v/>
      </c>
      <c r="G19" s="10">
        <f>IF(ISBLANK($A19), "", SUM(C19:F19))</f>
        <v/>
      </c>
    </row>
    <row r="20" ht="20" customHeight="1" s="29">
      <c r="A20" s="12" t="n"/>
      <c r="B20" s="13">
        <f>B36</f>
        <v/>
      </c>
      <c r="C20" s="15">
        <f>IF(ISBLANK($A20), "", IFERROR(IF(C$9="By Days Present", SUMPRODUCT((C$39:AG$39=0) + C36:AG36*(C$39:AG$39&gt;0), C$40:AG$40), IF(C$9="Split Equally", C$8 / COUNTA($A$13:$A$22), IF(C$9="Split (Top 3)", IF(ROW()&lt;=15, C$8 / 3, 0), 0))), 0))</f>
        <v/>
      </c>
      <c r="D20" s="15">
        <f>IF(ISBLANK($A20), "", IFERROR(IF(D$9="By Days Present", SUMPRODUCT(((C$39:AG$39=0)/COUNTA($A$13:$A$22) + (C36:AG36/(C$39:AG$39 + (C$39:AG$39=0)))*(C$39:AG$39&gt;0)), (C$28:AG$28&lt;&gt;"") * (D$8 / $F$4)), IF(D$9="Split Equally", D$8 / COUNTA($A$13:$A$22), IF(D$9="Split (Top 3)", IF(ROW()&lt;=15, D$8 / 3, 0), 0))), 0))</f>
        <v/>
      </c>
      <c r="E20" s="15">
        <f>IF(ISBLANK($A20), "", IFERROR(IF(E$9="By Days Present", SUMPRODUCT(((C$39:AG$39=0)/COUNTA($A$13:$A$22) + (C36:AG36/(C$39:AG$39 + (C$39:AG$39=0)))*(C$39:AG$39&gt;0)), (C$28:AG$28&lt;&gt;"") * (E$8 / $F$4)), IF(E$9="Split Equally", E$8 / COUNTA($A$13:$A$22), IF(E$9="Split (Top 3)", IF(ROW()&lt;=15, E$8 / 3, 0), 0))), 0))</f>
        <v/>
      </c>
      <c r="F20" s="15">
        <f>IF(ISBLANK($A20), "", IFERROR(IF(F$9="By Days Present", SUMPRODUCT(((C$39:AG$39=0)/COUNTA($A$13:$A$22) + (C36:AG36/(C$39:AG$39 + (C$39:AG$39=0)))*(C$39:AG$39&gt;0)), (C$28:AG$28&lt;&gt;"") * (F$8 / $F$4)), IF(F$9="Split Equally", F$8 / COUNTA($A$13:$A$22), IF(F$9="Split (Top 3)", IF(ROW()&lt;=15, F$8 / 3, 0), 0))), 0))</f>
        <v/>
      </c>
      <c r="G20" s="10">
        <f>IF(ISBLANK($A20), "", SUM(C20:F20))</f>
        <v/>
      </c>
    </row>
    <row r="21" ht="20" customHeight="1" s="29">
      <c r="A21" s="12" t="n"/>
      <c r="B21" s="13">
        <f>B37</f>
        <v/>
      </c>
      <c r="C21" s="14">
        <f>IF(ISBLANK($A21), "", IFERROR(IF(C$9="By Days Present", SUMPRODUCT((C$39:AG$39=0) + C37:AG37*(C$39:AG$39&gt;0), C$40:AG$40), IF(C$9="Split Equally", C$8 / COUNTA($A$13:$A$22), IF(C$9="Split (Top 3)", IF(ROW()&lt;=15, C$8 / 3, 0), 0))), 0))</f>
        <v/>
      </c>
      <c r="D21" s="14">
        <f>IF(ISBLANK($A21), "", IFERROR(IF(D$9="By Days Present", SUMPRODUCT(((C$39:AG$39=0)/COUNTA($A$13:$A$22) + (C37:AG37/(C$39:AG$39 + (C$39:AG$39=0)))*(C$39:AG$39&gt;0)), (C$28:AG$28&lt;&gt;"") * (D$8 / $F$4)), IF(D$9="Split Equally", D$8 / COUNTA($A$13:$A$22), IF(D$9="Split (Top 3)", IF(ROW()&lt;=15, D$8 / 3, 0), 0))), 0))</f>
        <v/>
      </c>
      <c r="E21" s="14">
        <f>IF(ISBLANK($A21), "", IFERROR(IF(E$9="By Days Present", SUMPRODUCT(((C$39:AG$39=0)/COUNTA($A$13:$A$22) + (C37:AG37/(C$39:AG$39 + (C$39:AG$39=0)))*(C$39:AG$39&gt;0)), (C$28:AG$28&lt;&gt;"") * (E$8 / $F$4)), IF(E$9="Split Equally", E$8 / COUNTA($A$13:$A$22), IF(E$9="Split (Top 3)", IF(ROW()&lt;=15, E$8 / 3, 0), 0))), 0))</f>
        <v/>
      </c>
      <c r="F21" s="14">
        <f>IF(ISBLANK($A21), "", IFERROR(IF(F$9="By Days Present", SUMPRODUCT(((C$39:AG$39=0)/COUNTA($A$13:$A$22) + (C37:AG37/(C$39:AG$39 + (C$39:AG$39=0)))*(C$39:AG$39&gt;0)), (C$28:AG$28&lt;&gt;"") * (F$8 / $F$4)), IF(F$9="Split Equally", F$8 / COUNTA($A$13:$A$22), IF(F$9="Split (Top 3)", IF(ROW()&lt;=15, F$8 / 3, 0), 0))), 0))</f>
        <v/>
      </c>
      <c r="G21" s="10">
        <f>IF(ISBLANK($A21), "", SUM(C21:F21))</f>
        <v/>
      </c>
    </row>
    <row r="22" ht="20" customHeight="1" s="29">
      <c r="A22" s="12" t="n"/>
      <c r="B22" s="13">
        <f>B38</f>
        <v/>
      </c>
      <c r="C22" s="15">
        <f>IF(ISBLANK($A22), "", IFERROR(IF(C$9="By Days Present", SUMPRODUCT((C$39:AG$39=0) + C38:AG38*(C$39:AG$39&gt;0), C$40:AG$40), IF(C$9="Split Equally", C$8 / COUNTA($A$13:$A$22), IF(C$9="Split (Top 3)", IF(ROW()&lt;=15, C$8 / 3, 0), 0))), 0))</f>
        <v/>
      </c>
      <c r="D22" s="15">
        <f>IF(ISBLANK($A22), "", IFERROR(IF(D$9="By Days Present", SUMPRODUCT(((C$39:AG$39=0)/COUNTA($A$13:$A$22) + (C38:AG38/(C$39:AG$39 + (C$39:AG$39=0)))*(C$39:AG$39&gt;0)), (C$28:AG$28&lt;&gt;"") * (D$8 / $F$4)), IF(D$9="Split Equally", D$8 / COUNTA($A$13:$A$22), IF(D$9="Split (Top 3)", IF(ROW()&lt;=15, D$8 / 3, 0), 0))), 0))</f>
        <v/>
      </c>
      <c r="E22" s="15">
        <f>IF(ISBLANK($A22), "", IFERROR(IF(E$9="By Days Present", SUMPRODUCT(((C$39:AG$39=0)/COUNTA($A$13:$A$22) + (C38:AG38/(C$39:AG$39 + (C$39:AG$39=0)))*(C$39:AG$39&gt;0)), (C$28:AG$28&lt;&gt;"") * (E$8 / $F$4)), IF(E$9="Split Equally", E$8 / COUNTA($A$13:$A$22), IF(E$9="Split (Top 3)", IF(ROW()&lt;=15, E$8 / 3, 0), 0))), 0))</f>
        <v/>
      </c>
      <c r="F22" s="15">
        <f>IF(ISBLANK($A22), "", IFERROR(IF(F$9="By Days Present", SUMPRODUCT(((C$39:AG$39=0)/COUNTA($A$13:$A$22) + (C38:AG38/(C$39:AG$39 + (C$39:AG$39=0)))*(C$39:AG$39&gt;0)), (C$28:AG$28&lt;&gt;"") * (F$8 / $F$4)), IF(F$9="Split Equally", F$8 / COUNTA($A$13:$A$22), IF(F$9="Split (Top 3)", IF(ROW()&lt;=15, F$8 / 3, 0), 0))), 0))</f>
        <v/>
      </c>
      <c r="G22" s="10">
        <f>IF(ISBLANK($A22), "", SUM(C22:F22))</f>
        <v/>
      </c>
    </row>
    <row r="23" ht="22" customHeight="1" s="29">
      <c r="A23" s="16" t="inlineStr">
        <is>
          <t>Total Allocated Share</t>
        </is>
      </c>
      <c r="B23" s="17">
        <f>SUM(B13:B22)</f>
        <v/>
      </c>
      <c r="C23" s="18">
        <f>SUM(C13:C22)</f>
        <v/>
      </c>
      <c r="D23" s="18">
        <f>SUM(D13:D22)</f>
        <v/>
      </c>
      <c r="E23" s="18">
        <f>SUM(E13:E22)</f>
        <v/>
      </c>
      <c r="F23" s="18">
        <f>SUM(F13:F22)</f>
        <v/>
      </c>
      <c r="G23" s="18">
        <f>SUM(G13:G22)</f>
        <v/>
      </c>
    </row>
    <row r="24" ht="22" customHeight="1" s="29">
      <c r="A24" s="8" t="inlineStr">
        <is>
          <t>Actual Total Bill Amount</t>
        </is>
      </c>
      <c r="B24" s="11" t="n"/>
      <c r="C24" s="14">
        <f>C8</f>
        <v/>
      </c>
      <c r="D24" s="14">
        <f>D8</f>
        <v/>
      </c>
      <c r="E24" s="14">
        <f>E8</f>
        <v/>
      </c>
      <c r="F24" s="14">
        <f>F8</f>
        <v/>
      </c>
      <c r="G24" s="19">
        <f>G8</f>
        <v/>
      </c>
    </row>
    <row r="25" ht="22" customHeight="1" s="29">
      <c r="A25" s="8" t="inlineStr">
        <is>
          <t>Reconciliation Status</t>
        </is>
      </c>
      <c r="B25" s="11" t="n"/>
      <c r="C25" s="20">
        <f>IF(ABS(C23-C24)&lt;0.01, "✔ Balanced", "❌ Unbalanced")</f>
        <v/>
      </c>
      <c r="D25" s="20">
        <f>IF(ABS(D23-D24)&lt;0.01, "✔ Balanced", "❌ Unbalanced")</f>
        <v/>
      </c>
      <c r="E25" s="20">
        <f>IF(ABS(E23-E24)&lt;0.01, "✔ Balanced", "❌ Unbalanced")</f>
        <v/>
      </c>
      <c r="F25" s="20">
        <f>IF(ABS(F23-F24)&lt;0.01, "✔ Balanced", "❌ Unbalanced")</f>
        <v/>
      </c>
      <c r="G25" s="20">
        <f>IF(ABS(G23-G24)&lt;0.01, "✔ Balanced", "❌ Unbalanced")</f>
        <v/>
      </c>
    </row>
    <row r="27" ht="24" customHeight="1" s="29">
      <c r="A27" s="31" t="inlineStr">
        <is>
          <t>3. DAILY OCCUPANCY TRACKER (Simply enter '1' for each day an occupant is present; leave blank or enter '0' if absent)</t>
        </is>
      </c>
    </row>
    <row r="28" ht="25" customHeight="1" s="29">
      <c r="A28" s="4" t="inlineStr">
        <is>
          <t>Occupant Name</t>
        </is>
      </c>
      <c r="B28" s="6" t="inlineStr">
        <is>
          <t>Total Days</t>
        </is>
      </c>
      <c r="C28" s="21">
        <f>IF(OR($B$4="", ISBLANK($B$4)), "", IF(ISNUMBER($B$4), $B$4, DATEVALUE($B$4)))</f>
        <v/>
      </c>
      <c r="D28" s="21">
        <f>IF(C28="", "", IF(C28+1 &lt;= IF(ISNUMBER($D$4), $D$4, DATEVALUE($D$4)), C28+1, ""))</f>
        <v/>
      </c>
      <c r="E28" s="21">
        <f>IF(D28="", "", IF(D28+1 &lt;= IF(ISNUMBER($D$4), $D$4, DATEVALUE($D$4)), D28+1, ""))</f>
        <v/>
      </c>
      <c r="F28" s="21">
        <f>IF(E28="", "", IF(E28+1 &lt;= IF(ISNUMBER($D$4), $D$4, DATEVALUE($D$4)), E28+1, ""))</f>
        <v/>
      </c>
      <c r="G28" s="21">
        <f>IF(F28="", "", IF(F28+1 &lt;= IF(ISNUMBER($D$4), $D$4, DATEVALUE($D$4)), F28+1, ""))</f>
        <v/>
      </c>
      <c r="H28" s="21">
        <f>IF(G28="", "", IF(G28+1 &lt;= IF(ISNUMBER($D$4), $D$4, DATEVALUE($D$4)), G28+1, ""))</f>
        <v/>
      </c>
      <c r="I28" s="21">
        <f>IF(H28="", "", IF(H28+1 &lt;= IF(ISNUMBER($D$4), $D$4, DATEVALUE($D$4)), H28+1, ""))</f>
        <v/>
      </c>
      <c r="J28" s="21">
        <f>IF(I28="", "", IF(I28+1 &lt;= IF(ISNUMBER($D$4), $D$4, DATEVALUE($D$4)), I28+1, ""))</f>
        <v/>
      </c>
      <c r="K28" s="21">
        <f>IF(J28="", "", IF(J28+1 &lt;= IF(ISNUMBER($D$4), $D$4, DATEVALUE($D$4)), J28+1, ""))</f>
        <v/>
      </c>
      <c r="L28" s="21">
        <f>IF(K28="", "", IF(K28+1 &lt;= IF(ISNUMBER($D$4), $D$4, DATEVALUE($D$4)), K28+1, ""))</f>
        <v/>
      </c>
      <c r="M28" s="21">
        <f>IF(L28="", "", IF(L28+1 &lt;= IF(ISNUMBER($D$4), $D$4, DATEVALUE($D$4)), L28+1, ""))</f>
        <v/>
      </c>
      <c r="N28" s="21">
        <f>IF(M28="", "", IF(M28+1 &lt;= IF(ISNUMBER($D$4), $D$4, DATEVALUE($D$4)), M28+1, ""))</f>
        <v/>
      </c>
      <c r="O28" s="21">
        <f>IF(N28="", "", IF(N28+1 &lt;= IF(ISNUMBER($D$4), $D$4, DATEVALUE($D$4)), N28+1, ""))</f>
        <v/>
      </c>
      <c r="P28" s="21">
        <f>IF(O28="", "", IF(O28+1 &lt;= IF(ISNUMBER($D$4), $D$4, DATEVALUE($D$4)), O28+1, ""))</f>
        <v/>
      </c>
      <c r="Q28" s="21">
        <f>IF(P28="", "", IF(P28+1 &lt;= IF(ISNUMBER($D$4), $D$4, DATEVALUE($D$4)), P28+1, ""))</f>
        <v/>
      </c>
      <c r="R28" s="21">
        <f>IF(Q28="", "", IF(Q28+1 &lt;= IF(ISNUMBER($D$4), $D$4, DATEVALUE($D$4)), Q28+1, ""))</f>
        <v/>
      </c>
      <c r="S28" s="21">
        <f>IF(R28="", "", IF(R28+1 &lt;= IF(ISNUMBER($D$4), $D$4, DATEVALUE($D$4)), R28+1, ""))</f>
        <v/>
      </c>
      <c r="T28" s="21">
        <f>IF(S28="", "", IF(S28+1 &lt;= IF(ISNUMBER($D$4), $D$4, DATEVALUE($D$4)), S28+1, ""))</f>
        <v/>
      </c>
      <c r="U28" s="21">
        <f>IF(T28="", "", IF(T28+1 &lt;= IF(ISNUMBER($D$4), $D$4, DATEVALUE($D$4)), T28+1, ""))</f>
        <v/>
      </c>
      <c r="V28" s="21">
        <f>IF(U28="", "", IF(U28+1 &lt;= IF(ISNUMBER($D$4), $D$4, DATEVALUE($D$4)), U28+1, ""))</f>
        <v/>
      </c>
      <c r="W28" s="21">
        <f>IF(V28="", "", IF(V28+1 &lt;= IF(ISNUMBER($D$4), $D$4, DATEVALUE($D$4)), V28+1, ""))</f>
        <v/>
      </c>
      <c r="X28" s="21">
        <f>IF(W28="", "", IF(W28+1 &lt;= IF(ISNUMBER($D$4), $D$4, DATEVALUE($D$4)), W28+1, ""))</f>
        <v/>
      </c>
      <c r="Y28" s="21">
        <f>IF(X28="", "", IF(X28+1 &lt;= IF(ISNUMBER($D$4), $D$4, DATEVALUE($D$4)), X28+1, ""))</f>
        <v/>
      </c>
      <c r="Z28" s="21">
        <f>IF(Y28="", "", IF(Y28+1 &lt;= IF(ISNUMBER($D$4), $D$4, DATEVALUE($D$4)), Y28+1, ""))</f>
        <v/>
      </c>
      <c r="AA28" s="21">
        <f>IF(Z28="", "", IF(Z28+1 &lt;= IF(ISNUMBER($D$4), $D$4, DATEVALUE($D$4)), Z28+1, ""))</f>
        <v/>
      </c>
      <c r="AB28" s="21">
        <f>IF(AA28="", "", IF(AA28+1 &lt;= IF(ISNUMBER($D$4), $D$4, DATEVALUE($D$4)), AA28+1, ""))</f>
        <v/>
      </c>
      <c r="AC28" s="21">
        <f>IF(AB28="", "", IF(AB28+1 &lt;= IF(ISNUMBER($D$4), $D$4, DATEVALUE($D$4)), AB28+1, ""))</f>
        <v/>
      </c>
      <c r="AD28" s="21">
        <f>IF(AC28="", "", IF(AC28+1 &lt;= IF(ISNUMBER($D$4), $D$4, DATEVALUE($D$4)), AC28+1, ""))</f>
        <v/>
      </c>
      <c r="AE28" s="21">
        <f>IF(AD28="", "", IF(AD28+1 &lt;= IF(ISNUMBER($D$4), $D$4, DATEVALUE($D$4)), AD28+1, ""))</f>
        <v/>
      </c>
      <c r="AF28" s="21">
        <f>IF(AE28="", "", IF(AE28+1 &lt;= IF(ISNUMBER($D$4), $D$4, DATEVALUE($D$4)), AE28+1, ""))</f>
        <v/>
      </c>
      <c r="AG28" s="21">
        <f>IF(AF28="", "", IF(AF28+1 &lt;= IF(ISNUMBER($D$4), $D$4, DATEVALUE($D$4)), AF28+1, ""))</f>
        <v/>
      </c>
      <c r="AH28" s="21">
        <f>IF(AG28="","",IF(AG28+1&lt;=$D$4,AG28+1,""))</f>
        <v/>
      </c>
    </row>
    <row r="29" ht="20" customHeight="1" s="29">
      <c r="A29" s="22">
        <f>A13</f>
        <v/>
      </c>
      <c r="B29" s="23">
        <f>SUMIF(C$28:AG$28, "&lt;&gt;", C29:AG29)</f>
        <v/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 ht="20" customHeight="1" s="29">
      <c r="A30" s="22">
        <f>A14</f>
        <v/>
      </c>
      <c r="B30" s="23">
        <f>SUMIF(C$28:AG$28, "&lt;&gt;", C30:AG30)</f>
        <v/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</row>
    <row r="31" ht="20" customHeight="1" s="29">
      <c r="A31" s="22">
        <f>A15</f>
        <v/>
      </c>
      <c r="B31" s="23">
        <f>SUMIF(C$28:AG$28, "&lt;&gt;", C31:AG31)</f>
        <v/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 ht="20" customHeight="1" s="29">
      <c r="A32" s="22">
        <f>A16</f>
        <v/>
      </c>
      <c r="B32" s="23">
        <f>SUMIF(C$28:AG$28, "&lt;&gt;", C32:AG32)</f>
        <v/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</row>
    <row r="33" ht="20" customHeight="1" s="29">
      <c r="A33" s="22">
        <f>A17</f>
        <v/>
      </c>
      <c r="B33" s="23">
        <f>SUMIF(C$28:AG$28, "&lt;&gt;", C33:AG33)</f>
        <v/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</row>
    <row r="34" ht="20" customHeight="1" s="29">
      <c r="A34" s="22">
        <f>A18</f>
        <v/>
      </c>
      <c r="B34" s="23">
        <f>SUMIF(C$28:AG$28, "&lt;&gt;", C34:AG34)</f>
        <v/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 ht="20" customHeight="1" s="29">
      <c r="A35" s="22">
        <f>A19</f>
        <v/>
      </c>
      <c r="B35" s="23">
        <f>SUMIF(C$28:AG$28, "&lt;&gt;", C35:AG35)</f>
        <v/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 ht="20" customHeight="1" s="29">
      <c r="A36" s="22">
        <f>A20</f>
        <v/>
      </c>
      <c r="B36" s="23">
        <f>SUMIF(C$28:AG$28, "&lt;&gt;", C36:AG36)</f>
        <v/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 ht="20" customHeight="1" s="29">
      <c r="A37" s="22">
        <f>A21</f>
        <v/>
      </c>
      <c r="B37" s="23">
        <f>SUMIF(C$28:AG$28, "&lt;&gt;", C37:AG37)</f>
        <v/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 ht="20" customHeight="1" s="29">
      <c r="A38" s="22">
        <f>A22</f>
        <v/>
      </c>
      <c r="B38" s="23">
        <f>SUMIF(C$28:AG$28, "&lt;&gt;", C38:AG38)</f>
        <v/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 ht="22" customHeight="1" s="29">
      <c r="A39" s="8" t="inlineStr">
        <is>
          <t>Total Present</t>
        </is>
      </c>
      <c r="B39" s="24">
        <f>SUM(B29:B38)</f>
        <v/>
      </c>
      <c r="C39" s="25">
        <f>IF(C$28="","",SUM(C29:C38))</f>
        <v/>
      </c>
      <c r="D39" s="25">
        <f>IF(D$28="","",SUM(D29:D38))</f>
        <v/>
      </c>
      <c r="E39" s="25">
        <f>IF(E$28="","",SUM(E29:E38))</f>
        <v/>
      </c>
      <c r="F39" s="25">
        <f>IF(F$28="","",SUM(F29:F38))</f>
        <v/>
      </c>
      <c r="G39" s="25">
        <f>IF(G$28="","",SUM(G29:G38))</f>
        <v/>
      </c>
      <c r="H39" s="25">
        <f>IF(H$28="","",SUM(H29:H38))</f>
        <v/>
      </c>
      <c r="I39" s="25">
        <f>IF(I$28="","",SUM(I29:I38))</f>
        <v/>
      </c>
      <c r="J39" s="25">
        <f>IF(J$28="","",SUM(J29:J38))</f>
        <v/>
      </c>
      <c r="K39" s="25">
        <f>IF(K$28="","",SUM(K29:K38))</f>
        <v/>
      </c>
      <c r="L39" s="25">
        <f>IF(L$28="","",SUM(L29:L38))</f>
        <v/>
      </c>
      <c r="M39" s="25">
        <f>IF(M$28="","",SUM(M29:M38))</f>
        <v/>
      </c>
      <c r="N39" s="25">
        <f>IF(N$28="","",SUM(N29:N38))</f>
        <v/>
      </c>
      <c r="O39" s="25">
        <f>IF(O$28="","",SUM(O29:O38))</f>
        <v/>
      </c>
      <c r="P39" s="25">
        <f>IF(P$28="","",SUM(P29:P38))</f>
        <v/>
      </c>
      <c r="Q39" s="25">
        <f>IF(Q$28="","",SUM(Q29:Q38))</f>
        <v/>
      </c>
      <c r="R39" s="25">
        <f>IF(R$28="","",SUM(R29:R38))</f>
        <v/>
      </c>
      <c r="S39" s="25">
        <f>IF(S$28="","",SUM(S29:S38))</f>
        <v/>
      </c>
      <c r="T39" s="25">
        <f>IF(T$28="","",SUM(T29:T38))</f>
        <v/>
      </c>
      <c r="U39" s="25">
        <f>IF(U$28="","",SUM(U29:U38))</f>
        <v/>
      </c>
      <c r="V39" s="25">
        <f>IF(V$28="","",SUM(V29:V38))</f>
        <v/>
      </c>
      <c r="W39" s="25">
        <f>IF(W$28="","",SUM(W29:W38))</f>
        <v/>
      </c>
      <c r="X39" s="25">
        <f>IF(X$28="","",SUM(X29:X38))</f>
        <v/>
      </c>
      <c r="Y39" s="25">
        <f>IF(Y$28="","",SUM(Y29:Y38))</f>
        <v/>
      </c>
      <c r="Z39" s="25">
        <f>IF(Z$28="","",SUM(Z29:Z38))</f>
        <v/>
      </c>
      <c r="AA39" s="25">
        <f>IF(AA$28="","",SUM(AA29:AA38))</f>
        <v/>
      </c>
      <c r="AB39" s="25">
        <f>IF(AB$28="","",SUM(AB29:AB38))</f>
        <v/>
      </c>
      <c r="AC39" s="25">
        <f>IF(AC$28="","",SUM(AC29:AC38))</f>
        <v/>
      </c>
      <c r="AD39" s="25">
        <f>IF(AD$28="","",SUM(AD29:AD38))</f>
        <v/>
      </c>
      <c r="AE39" s="25">
        <f>IF(AE$28="","",SUM(AE29:AE38))</f>
        <v/>
      </c>
      <c r="AF39" s="25">
        <f>IF(AF$28="","",SUM(AF29:AF38))</f>
        <v/>
      </c>
      <c r="AG39" s="25">
        <f>IF(AG$28="","",SUM(AG29:AG38))</f>
        <v/>
      </c>
    </row>
    <row r="40" ht="22" customHeight="1" s="29">
      <c r="A40" s="8" t="inlineStr">
        <is>
          <t>PUB Cost per Person/Day</t>
        </is>
      </c>
      <c r="B40" s="26">
        <f>SUM(C40:AG40)</f>
        <v/>
      </c>
      <c r="C40" s="14">
        <f>IF(C$28="", "", IF(C39&gt;0, (C$8 / $F$4) / C39, (C$8 / $F$4) / COUNTA($A$13:$A$22)))</f>
        <v/>
      </c>
      <c r="D40" s="14">
        <f>IF(D$28="", "", IF(D39&gt;0, (C$8 / $F$4) / D39, (C$8 / $F$4) / COUNTA($A$13:$A$22)))</f>
        <v/>
      </c>
      <c r="E40" s="14">
        <f>IF(E$28="", "", IF(E39&gt;0, (C$8 / $F$4) / E39, (C$8 / $F$4) / COUNTA($A$13:$A$22)))</f>
        <v/>
      </c>
      <c r="F40" s="14">
        <f>IF(F$28="", "", IF(F39&gt;0, (C$8 / $F$4) / F39, (C$8 / $F$4) / COUNTA($A$13:$A$22)))</f>
        <v/>
      </c>
      <c r="G40" s="14">
        <f>IF(G$28="", "", IF(G39&gt;0, (C$8 / $F$4) / G39, (C$8 / $F$4) / COUNTA($A$13:$A$22)))</f>
        <v/>
      </c>
      <c r="H40" s="14">
        <f>IF(H$28="", "", IF(H39&gt;0, (C$8 / $F$4) / H39, (C$8 / $F$4) / COUNTA($A$13:$A$22)))</f>
        <v/>
      </c>
      <c r="I40" s="14">
        <f>IF(I$28="", "", IF(I39&gt;0, (C$8 / $F$4) / I39, (C$8 / $F$4) / COUNTA($A$13:$A$22)))</f>
        <v/>
      </c>
      <c r="J40" s="14">
        <f>IF(J$28="", "", IF(J39&gt;0, (C$8 / $F$4) / J39, (C$8 / $F$4) / COUNTA($A$13:$A$22)))</f>
        <v/>
      </c>
      <c r="K40" s="14">
        <f>IF(K$28="", "", IF(K39&gt;0, (C$8 / $F$4) / K39, (C$8 / $F$4) / COUNTA($A$13:$A$22)))</f>
        <v/>
      </c>
      <c r="L40" s="14">
        <f>IF(L$28="", "", IF(L39&gt;0, (C$8 / $F$4) / L39, (C$8 / $F$4) / COUNTA($A$13:$A$22)))</f>
        <v/>
      </c>
      <c r="M40" s="14">
        <f>IF(M$28="", "", IF(M39&gt;0, (C$8 / $F$4) / M39, (C$8 / $F$4) / COUNTA($A$13:$A$22)))</f>
        <v/>
      </c>
      <c r="N40" s="14">
        <f>IF(N$28="", "", IF(N39&gt;0, (C$8 / $F$4) / N39, (C$8 / $F$4) / COUNTA($A$13:$A$22)))</f>
        <v/>
      </c>
      <c r="O40" s="14">
        <f>IF(O$28="", "", IF(O39&gt;0, (C$8 / $F$4) / O39, (C$8 / $F$4) / COUNTA($A$13:$A$22)))</f>
        <v/>
      </c>
      <c r="P40" s="14">
        <f>IF(P$28="", "", IF(P39&gt;0, (C$8 / $F$4) / P39, (C$8 / $F$4) / COUNTA($A$13:$A$22)))</f>
        <v/>
      </c>
      <c r="Q40" s="14">
        <f>IF(Q$28="", "", IF(Q39&gt;0, (C$8 / $F$4) / Q39, (C$8 / $F$4) / COUNTA($A$13:$A$22)))</f>
        <v/>
      </c>
      <c r="R40" s="14">
        <f>IF(R$28="", "", IF(R39&gt;0, (C$8 / $F$4) / R39, (C$8 / $F$4) / COUNTA($A$13:$A$22)))</f>
        <v/>
      </c>
      <c r="S40" s="14">
        <f>IF(S$28="", "", IF(S39&gt;0, (C$8 / $F$4) / S39, (C$8 / $F$4) / COUNTA($A$13:$A$22)))</f>
        <v/>
      </c>
      <c r="T40" s="14">
        <f>IF(T$28="", "", IF(T39&gt;0, (C$8 / $F$4) / T39, (C$8 / $F$4) / COUNTA($A$13:$A$22)))</f>
        <v/>
      </c>
      <c r="U40" s="14">
        <f>IF(U$28="", "", IF(U39&gt;0, (C$8 / $F$4) / U39, (C$8 / $F$4) / COUNTA($A$13:$A$22)))</f>
        <v/>
      </c>
      <c r="V40" s="14">
        <f>IF(V$28="", "", IF(V39&gt;0, (C$8 / $F$4) / V39, (C$8 / $F$4) / COUNTA($A$13:$A$22)))</f>
        <v/>
      </c>
      <c r="W40" s="14">
        <f>IF(W$28="", "", IF(W39&gt;0, (C$8 / $F$4) / W39, (C$8 / $F$4) / COUNTA($A$13:$A$22)))</f>
        <v/>
      </c>
      <c r="X40" s="14">
        <f>IF(X$28="", "", IF(X39&gt;0, (C$8 / $F$4) / X39, (C$8 / $F$4) / COUNTA($A$13:$A$22)))</f>
        <v/>
      </c>
      <c r="Y40" s="14">
        <f>IF(Y$28="", "", IF(Y39&gt;0, (C$8 / $F$4) / Y39, (C$8 / $F$4) / COUNTA($A$13:$A$22)))</f>
        <v/>
      </c>
      <c r="Z40" s="14">
        <f>IF(Z$28="", "", IF(Z39&gt;0, (C$8 / $F$4) / Z39, (C$8 / $F$4) / COUNTA($A$13:$A$22)))</f>
        <v/>
      </c>
      <c r="AA40" s="14">
        <f>IF(AA$28="", "", IF(AA39&gt;0, (C$8 / $F$4) / AA39, (C$8 / $F$4) / COUNTA($A$13:$A$22)))</f>
        <v/>
      </c>
      <c r="AB40" s="14">
        <f>IF(AB$28="", "", IF(AB39&gt;0, (C$8 / $F$4) / AB39, (C$8 / $F$4) / COUNTA($A$13:$A$22)))</f>
        <v/>
      </c>
      <c r="AC40" s="14">
        <f>IF(AC$28="", "", IF(AC39&gt;0, (C$8 / $F$4) / AC39, (C$8 / $F$4) / COUNTA($A$13:$A$22)))</f>
        <v/>
      </c>
      <c r="AD40" s="14">
        <f>IF(AD$28="", "", IF(AD39&gt;0, (C$8 / $F$4) / AD39, (C$8 / $F$4) / COUNTA($A$13:$A$22)))</f>
        <v/>
      </c>
      <c r="AE40" s="14">
        <f>IF(AE$28="", "", IF(AE39&gt;0, (C$8 / $F$4) / AE39, (C$8 / $F$4) / COUNTA($A$13:$A$22)))</f>
        <v/>
      </c>
      <c r="AF40" s="14">
        <f>IF(AF$28="", "", IF(AF39&gt;0, (C$8 / $F$4) / AF39, (C$8 / $F$4) / COUNTA($A$13:$A$22)))</f>
        <v/>
      </c>
      <c r="AG40" s="14">
        <f>IF(AG$28="", "", IF(AG39&gt;0, (C$8 / $F$4) / AG39, (C$8 / $F$4) / COUNTA($A$13:$A$22)))</f>
        <v/>
      </c>
    </row>
    <row r="42" ht="16" customHeight="1" s="29">
      <c r="A42" s="34" t="inlineStr">
        <is>
          <t>HOW TO USE THIS SHEET:</t>
        </is>
      </c>
    </row>
    <row r="43" ht="18" customHeight="1" s="29">
      <c r="A43" s="28" t="inlineStr">
        <is>
          <t>1. Enter Billing Start/End Dates in B4/D4. The billing days calculate automatically.</t>
        </is>
      </c>
    </row>
    <row r="44" ht="18" customHeight="1" s="29">
      <c r="A44" s="28" t="inlineStr">
        <is>
          <t>2. Rename any of the utility headers (C7:F7) as needed (e.g., replace 'Custom 1' with 'Netflix' or 'Gas').</t>
        </is>
      </c>
    </row>
    <row r="45" ht="18" customHeight="1" s="29">
      <c r="A45" s="28" t="inlineStr">
        <is>
          <t>3. Enter the total bill for each utility in the green boxes (C8:F8).</t>
        </is>
      </c>
    </row>
    <row r="46" ht="18" customHeight="1" s="29">
      <c r="A46" s="28" t="inlineStr">
        <is>
          <t>4. Choose split methods in green boxes (C9:F9) - choose 'By Days Present' for variable bills (like PUB), 'Split Equally' for flat bills, or 'Split (Top 3)' to split equally among the first 3 occupants only.</t>
        </is>
      </c>
    </row>
    <row r="47" ht="18" customHeight="1" s="29">
      <c r="A47" s="28" t="inlineStr">
        <is>
          <t>5. Enter occupant names in green boxes A13:A22. They will mirror automatically in the daily tracker.</t>
        </is>
      </c>
    </row>
    <row r="48" ht="18" customHeight="1" s="29">
      <c r="A48" s="28" t="inlineStr">
        <is>
          <t>6. In Section 3 (Daily Occupancy Tracker), enter '1' in the green day columns for each day an occupant is present. Leave blank or enter '0' if they are away.</t>
        </is>
      </c>
    </row>
    <row r="49" ht="18" customHeight="1" s="29">
      <c r="A49" s="28" t="inlineStr">
        <is>
          <t>7. Note: The Day columns in Section 3 link to dates in B4/D4. Changing dates will automatically gray out and disable inactive columns.</t>
        </is>
      </c>
    </row>
    <row r="50" ht="18" customHeight="1" s="29">
      <c r="A50" s="32" t="inlineStr">
        <is>
          <t>💡 Verification status displays '✔ Balanced' when individual shares match the total bill. If some people were away, PUB will show '❌ Unbalanced' to reflect the unallocated vacancy cost of empty days.</t>
        </is>
      </c>
    </row>
  </sheetData>
  <mergeCells count="14">
    <mergeCell ref="A44:G44"/>
    <mergeCell ref="A27:AG27"/>
    <mergeCell ref="A1:G1"/>
    <mergeCell ref="A6:G6"/>
    <mergeCell ref="A50:G50"/>
    <mergeCell ref="A48:G48"/>
    <mergeCell ref="A2:G2"/>
    <mergeCell ref="A42:G42"/>
    <mergeCell ref="A43:G43"/>
    <mergeCell ref="A11:G11"/>
    <mergeCell ref="A49:G49"/>
    <mergeCell ref="A47:G47"/>
    <mergeCell ref="A45:G45"/>
    <mergeCell ref="A46:G46"/>
  </mergeCells>
  <conditionalFormatting sqref="C28:AG40">
    <cfRule type="expression" priority="1" dxfId="0" stopIfTrue="1">
      <formula>C$28=""</formula>
    </cfRule>
  </conditionalFormatting>
  <dataValidations count="1">
    <dataValidation sqref="C9:F9" showDropDown="0" showInputMessage="0" showErrorMessage="0" allowBlank="0" errorTitle="Invalid Entry" error="Your entry is not in the list" promptTitle="Split Method" prompt="Please select a split method" type="list">
      <formula1>"By Days Present,Split Equally,Split (Top 3)"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0"/>
  <sheetViews>
    <sheetView workbookViewId="0">
      <selection activeCell="A1" sqref="A1"/>
    </sheetView>
  </sheetViews>
  <sheetFormatPr baseColWidth="10" defaultColWidth="8.83203125" defaultRowHeight="15"/>
  <cols>
    <col width="24" customWidth="1" style="29" min="1" max="1"/>
    <col width="16" customWidth="1" style="29" min="2" max="2"/>
    <col width="6" customWidth="1" style="29" min="3" max="33"/>
  </cols>
  <sheetData>
    <row r="1" ht="30" customHeight="1" s="29">
      <c r="A1" s="30" t="inlineStr">
        <is>
          <t>HOUSEHOLD UTILITY BILL CALCULATOR - MAY 2027</t>
        </is>
      </c>
    </row>
    <row r="2" ht="20" customHeight="1" s="29">
      <c r="A2" s="33" t="inlineStr">
        <is>
          <t>Distribute shared bills dynamically by days present or equal split. Edit the green shaded cells; formulas do the rest.</t>
        </is>
      </c>
    </row>
    <row r="4" ht="22" customHeight="1" s="29">
      <c r="A4" s="34" t="inlineStr">
        <is>
          <t>Billing Start Date:</t>
        </is>
      </c>
      <c r="B4" s="35" t="n">
        <v>46508</v>
      </c>
      <c r="C4" s="34" t="inlineStr">
        <is>
          <t>Billing End Date:</t>
        </is>
      </c>
      <c r="D4" s="35" t="n">
        <v>46538</v>
      </c>
      <c r="E4" s="34" t="inlineStr">
        <is>
          <t>Billing Period Days:</t>
        </is>
      </c>
      <c r="F4" s="3">
        <f>IF(AND($B$4&lt;&gt;"", $D$4&lt;&gt;""), IF(ISNUMBER($D$4), $D$4, DATEVALUE($D$4)) - IF(ISNUMBER($B$4), $B$4, DATEVALUE($B$4)) + 1, "")</f>
        <v/>
      </c>
    </row>
    <row r="6" ht="24" customHeight="1" s="29">
      <c r="A6" s="31" t="inlineStr">
        <is>
          <t>1. UTILITY CONFIGURATION</t>
        </is>
      </c>
    </row>
    <row r="7" ht="25" customHeight="1" s="29">
      <c r="A7" s="4" t="inlineStr">
        <is>
          <t>Utility Item</t>
        </is>
      </c>
      <c r="B7" s="5" t="inlineStr">
        <is>
          <t>Label Description</t>
        </is>
      </c>
      <c r="C7" s="6" t="inlineStr">
        <is>
          <t>PUB</t>
        </is>
      </c>
      <c r="D7" s="6" t="inlineStr">
        <is>
          <t>Internet</t>
        </is>
      </c>
      <c r="E7" s="6" t="inlineStr">
        <is>
          <t>Custom 1</t>
        </is>
      </c>
      <c r="F7" s="6" t="inlineStr">
        <is>
          <t>Custom 2</t>
        </is>
      </c>
      <c r="G7" s="7" t="inlineStr">
        <is>
          <t>TOTAL BILL</t>
        </is>
      </c>
    </row>
    <row r="8" ht="22" customHeight="1" s="29">
      <c r="A8" s="8" t="inlineStr">
        <is>
          <t>Total Bill Amount</t>
        </is>
      </c>
      <c r="B8" s="5" t="inlineStr">
        <is>
          <t>Enter costs -&gt;</t>
        </is>
      </c>
      <c r="C8" s="9" t="n">
        <v>150</v>
      </c>
      <c r="D8" s="9" t="n">
        <v>43.7</v>
      </c>
      <c r="E8" s="9" t="n">
        <v>0</v>
      </c>
      <c r="F8" s="9" t="n">
        <v>0</v>
      </c>
      <c r="G8" s="10">
        <f>SUM(C8:F8)</f>
        <v/>
      </c>
    </row>
    <row r="9" ht="22" customHeight="1" s="29">
      <c r="A9" s="8" t="inlineStr">
        <is>
          <t>Split Method</t>
        </is>
      </c>
      <c r="B9" s="5" t="inlineStr">
        <is>
          <t>Choose method -&gt;</t>
        </is>
      </c>
      <c r="C9" s="2" t="inlineStr">
        <is>
          <t>By Days Present</t>
        </is>
      </c>
      <c r="D9" s="2" t="inlineStr">
        <is>
          <t>Split (Top 3)</t>
        </is>
      </c>
      <c r="E9" s="2" t="inlineStr">
        <is>
          <t>Split Equally</t>
        </is>
      </c>
      <c r="F9" s="2" t="inlineStr">
        <is>
          <t>Split Equally</t>
        </is>
      </c>
      <c r="G9" s="11" t="n"/>
    </row>
    <row r="11" ht="24" customHeight="1" s="29">
      <c r="A11" s="31" t="inlineStr">
        <is>
          <t>2. OCCUPANT DETAIL &amp; BILL DIVISION</t>
        </is>
      </c>
    </row>
    <row r="12" ht="25" customHeight="1" s="29">
      <c r="A12" s="4" t="inlineStr">
        <is>
          <t>Occupant Name</t>
        </is>
      </c>
      <c r="B12" s="6" t="inlineStr">
        <is>
          <t>Days Present</t>
        </is>
      </c>
      <c r="C12" s="6" t="inlineStr">
        <is>
          <t>PUB Share</t>
        </is>
      </c>
      <c r="D12" s="6" t="inlineStr">
        <is>
          <t>Internet Share</t>
        </is>
      </c>
      <c r="E12" s="6" t="inlineStr">
        <is>
          <t>Custom 1</t>
        </is>
      </c>
      <c r="F12" s="6" t="inlineStr">
        <is>
          <t>Custom 2</t>
        </is>
      </c>
      <c r="G12" s="7" t="inlineStr">
        <is>
          <t>Total Owed</t>
        </is>
      </c>
    </row>
    <row r="13" ht="20" customHeight="1" s="29">
      <c r="A13" s="12" t="inlineStr">
        <is>
          <t>Alex</t>
        </is>
      </c>
      <c r="B13" s="13">
        <f>B29</f>
        <v/>
      </c>
      <c r="C13" s="14">
        <f>IF(ISBLANK($A13), "", IFERROR(IF(C$9="By Days Present", SUMPRODUCT((C$39:AG$39=0) + C29:AG29*(C$39:AG$39&gt;0), C$40:AG$40), IF(C$9="Split Equally", C$8 / COUNTA($A$13:$A$22), IF(C$9="Split (Top 3)", IF(ROW()&lt;=15, C$8 / 3, 0), 0))), 0))</f>
        <v/>
      </c>
      <c r="D13" s="14">
        <f>IF(ISBLANK($A13), "", IFERROR(IF(D$9="By Days Present", SUMPRODUCT(((C$39:AG$39=0)/COUNTA($A$13:$A$22) + (C29:AG29/(C$39:AG$39 + (C$39:AG$39=0)))*(C$39:AG$39&gt;0)), (C$28:AG$28&lt;&gt;"") * (D$8 / $F$4)), IF(D$9="Split Equally", D$8 / COUNTA($A$13:$A$22), IF(D$9="Split (Top 3)", IF(ROW()&lt;=15, D$8 / 3, 0), 0))), 0))</f>
        <v/>
      </c>
      <c r="E13" s="14">
        <f>IF(ISBLANK($A13), "", IFERROR(IF(E$9="By Days Present", SUMPRODUCT(((C$39:AG$39=0)/COUNTA($A$13:$A$22) + (C29:AG29/(C$39:AG$39 + (C$39:AG$39=0)))*(C$39:AG$39&gt;0)), (C$28:AG$28&lt;&gt;"") * (E$8 / $F$4)), IF(E$9="Split Equally", E$8 / COUNTA($A$13:$A$22), IF(E$9="Split (Top 3)", IF(ROW()&lt;=15, E$8 / 3, 0), 0))), 0))</f>
        <v/>
      </c>
      <c r="F13" s="14">
        <f>IF(ISBLANK($A13), "", IFERROR(IF(F$9="By Days Present", SUMPRODUCT(((C$39:AG$39=0)/COUNTA($A$13:$A$22) + (C29:AG29/(C$39:AG$39 + (C$39:AG$39=0)))*(C$39:AG$39&gt;0)), (C$28:AG$28&lt;&gt;"") * (F$8 / $F$4)), IF(F$9="Split Equally", F$8 / COUNTA($A$13:$A$22), IF(F$9="Split (Top 3)", IF(ROW()&lt;=15, F$8 / 3, 0), 0))), 0))</f>
        <v/>
      </c>
      <c r="G13" s="10">
        <f>IF(ISBLANK($A13), "", SUM(C13:F13))</f>
        <v/>
      </c>
    </row>
    <row r="14" ht="20" customHeight="1" s="29">
      <c r="A14" s="12" t="inlineStr">
        <is>
          <t>Jordan</t>
        </is>
      </c>
      <c r="B14" s="13">
        <f>B30</f>
        <v/>
      </c>
      <c r="C14" s="15">
        <f>IF(ISBLANK($A14), "", IFERROR(IF(C$9="By Days Present", SUMPRODUCT((C$39:AG$39=0) + C30:AG30*(C$39:AG$39&gt;0), C$40:AG$40), IF(C$9="Split Equally", C$8 / COUNTA($A$13:$A$22), IF(C$9="Split (Top 3)", IF(ROW()&lt;=15, C$8 / 3, 0), 0))), 0))</f>
        <v/>
      </c>
      <c r="D14" s="15">
        <f>IF(ISBLANK($A14), "", IFERROR(IF(D$9="By Days Present", SUMPRODUCT(((C$39:AG$39=0)/COUNTA($A$13:$A$22) + (C30:AG30/(C$39:AG$39 + (C$39:AG$39=0)))*(C$39:AG$39&gt;0)), (C$28:AG$28&lt;&gt;"") * (D$8 / $F$4)), IF(D$9="Split Equally", D$8 / COUNTA($A$13:$A$22), IF(D$9="Split (Top 3)", IF(ROW()&lt;=15, D$8 / 3, 0), 0))), 0))</f>
        <v/>
      </c>
      <c r="E14" s="15">
        <f>IF(ISBLANK($A14), "", IFERROR(IF(E$9="By Days Present", SUMPRODUCT(((C$39:AG$39=0)/COUNTA($A$13:$A$22) + (C30:AG30/(C$39:AG$39 + (C$39:AG$39=0)))*(C$39:AG$39&gt;0)), (C$28:AG$28&lt;&gt;"") * (E$8 / $F$4)), IF(E$9="Split Equally", E$8 / COUNTA($A$13:$A$22), IF(E$9="Split (Top 3)", IF(ROW()&lt;=15, E$8 / 3, 0), 0))), 0))</f>
        <v/>
      </c>
      <c r="F14" s="15">
        <f>IF(ISBLANK($A14), "", IFERROR(IF(F$9="By Days Present", SUMPRODUCT(((C$39:AG$39=0)/COUNTA($A$13:$A$22) + (C30:AG30/(C$39:AG$39 + (C$39:AG$39=0)))*(C$39:AG$39&gt;0)), (C$28:AG$28&lt;&gt;"") * (F$8 / $F$4)), IF(F$9="Split Equally", F$8 / COUNTA($A$13:$A$22), IF(F$9="Split (Top 3)", IF(ROW()&lt;=15, F$8 / 3, 0), 0))), 0))</f>
        <v/>
      </c>
      <c r="G14" s="10">
        <f>IF(ISBLANK($A14), "", SUM(C14:F14))</f>
        <v/>
      </c>
    </row>
    <row r="15" ht="20" customHeight="1" s="29">
      <c r="A15" s="12" t="inlineStr">
        <is>
          <t>Morgan</t>
        </is>
      </c>
      <c r="B15" s="13">
        <f>B31</f>
        <v/>
      </c>
      <c r="C15" s="14">
        <f>IF(ISBLANK($A15), "", IFERROR(IF(C$9="By Days Present", SUMPRODUCT((C$39:AG$39=0) + C31:AG31*(C$39:AG$39&gt;0), C$40:AG$40), IF(C$9="Split Equally", C$8 / COUNTA($A$13:$A$22), IF(C$9="Split (Top 3)", IF(ROW()&lt;=15, C$8 / 3, 0), 0))), 0))</f>
        <v/>
      </c>
      <c r="D15" s="14">
        <f>IF(ISBLANK($A15), "", IFERROR(IF(D$9="By Days Present", SUMPRODUCT(((C$39:AG$39=0)/COUNTA($A$13:$A$22) + (C31:AG31/(C$39:AG$39 + (C$39:AG$39=0)))*(C$39:AG$39&gt;0)), (C$28:AG$28&lt;&gt;"") * (D$8 / $F$4)), IF(D$9="Split Equally", D$8 / COUNTA($A$13:$A$22), IF(D$9="Split (Top 3)", IF(ROW()&lt;=15, D$8 / 3, 0), 0))), 0))</f>
        <v/>
      </c>
      <c r="E15" s="14">
        <f>IF(ISBLANK($A15), "", IFERROR(IF(E$9="By Days Present", SUMPRODUCT(((C$39:AG$39=0)/COUNTA($A$13:$A$22) + (C31:AG31/(C$39:AG$39 + (C$39:AG$39=0)))*(C$39:AG$39&gt;0)), (C$28:AG$28&lt;&gt;"") * (E$8 / $F$4)), IF(E$9="Split Equally", E$8 / COUNTA($A$13:$A$22), IF(E$9="Split (Top 3)", IF(ROW()&lt;=15, E$8 / 3, 0), 0))), 0))</f>
        <v/>
      </c>
      <c r="F15" s="14">
        <f>IF(ISBLANK($A15), "", IFERROR(IF(F$9="By Days Present", SUMPRODUCT(((C$39:AG$39=0)/COUNTA($A$13:$A$22) + (C31:AG31/(C$39:AG$39 + (C$39:AG$39=0)))*(C$39:AG$39&gt;0)), (C$28:AG$28&lt;&gt;"") * (F$8 / $F$4)), IF(F$9="Split Equally", F$8 / COUNTA($A$13:$A$22), IF(F$9="Split (Top 3)", IF(ROW()&lt;=15, F$8 / 3, 0), 0))), 0))</f>
        <v/>
      </c>
      <c r="G15" s="10">
        <f>IF(ISBLANK($A15), "", SUM(C15:F15))</f>
        <v/>
      </c>
    </row>
    <row r="16" ht="20" customHeight="1" s="29">
      <c r="A16" s="12" t="inlineStr">
        <is>
          <t>Taylor</t>
        </is>
      </c>
      <c r="B16" s="13">
        <f>B32</f>
        <v/>
      </c>
      <c r="C16" s="15">
        <f>IF(ISBLANK($A16), "", IFERROR(IF(C$9="By Days Present", SUMPRODUCT((C$39:AG$39=0) + C32:AG32*(C$39:AG$39&gt;0), C$40:AG$40), IF(C$9="Split Equally", C$8 / COUNTA($A$13:$A$22), IF(C$9="Split (Top 3)", IF(ROW()&lt;=15, C$8 / 3, 0), 0))), 0))</f>
        <v/>
      </c>
      <c r="D16" s="15">
        <f>IF(ISBLANK($A16), "", IFERROR(IF(D$9="By Days Present", SUMPRODUCT(((C$39:AG$39=0)/COUNTA($A$13:$A$22) + (C32:AG32/(C$39:AG$39 + (C$39:AG$39=0)))*(C$39:AG$39&gt;0)), (C$28:AG$28&lt;&gt;"") * (D$8 / $F$4)), IF(D$9="Split Equally", D$8 / COUNTA($A$13:$A$22), IF(D$9="Split (Top 3)", IF(ROW()&lt;=15, D$8 / 3, 0), 0))), 0))</f>
        <v/>
      </c>
      <c r="E16" s="15">
        <f>IF(ISBLANK($A16), "", IFERROR(IF(E$9="By Days Present", SUMPRODUCT(((C$39:AG$39=0)/COUNTA($A$13:$A$22) + (C32:AG32/(C$39:AG$39 + (C$39:AG$39=0)))*(C$39:AG$39&gt;0)), (C$28:AG$28&lt;&gt;"") * (E$8 / $F$4)), IF(E$9="Split Equally", E$8 / COUNTA($A$13:$A$22), IF(E$9="Split (Top 3)", IF(ROW()&lt;=15, E$8 / 3, 0), 0))), 0))</f>
        <v/>
      </c>
      <c r="F16" s="15">
        <f>IF(ISBLANK($A16), "", IFERROR(IF(F$9="By Days Present", SUMPRODUCT(((C$39:AG$39=0)/COUNTA($A$13:$A$22) + (C32:AG32/(C$39:AG$39 + (C$39:AG$39=0)))*(C$39:AG$39&gt;0)), (C$28:AG$28&lt;&gt;"") * (F$8 / $F$4)), IF(F$9="Split Equally", F$8 / COUNTA($A$13:$A$22), IF(F$9="Split (Top 3)", IF(ROW()&lt;=15, F$8 / 3, 0), 0))), 0))</f>
        <v/>
      </c>
      <c r="G16" s="10">
        <f>IF(ISBLANK($A16), "", SUM(C16:F16))</f>
        <v/>
      </c>
    </row>
    <row r="17" ht="20" customHeight="1" s="29">
      <c r="A17" s="12" t="n"/>
      <c r="B17" s="13">
        <f>B33</f>
        <v/>
      </c>
      <c r="C17" s="14">
        <f>IF(ISBLANK($A17), "", IFERROR(IF(C$9="By Days Present", SUMPRODUCT((C$39:AG$39=0) + C33:AG33*(C$39:AG$39&gt;0), C$40:AG$40), IF(C$9="Split Equally", C$8 / COUNTA($A$13:$A$22), IF(C$9="Split (Top 3)", IF(ROW()&lt;=15, C$8 / 3, 0), 0))), 0))</f>
        <v/>
      </c>
      <c r="D17" s="14">
        <f>IF(ISBLANK($A17), "", IFERROR(IF(D$9="By Days Present", SUMPRODUCT(((C$39:AG$39=0)/COUNTA($A$13:$A$22) + (C33:AG33/(C$39:AG$39 + (C$39:AG$39=0)))*(C$39:AG$39&gt;0)), (C$28:AG$28&lt;&gt;"") * (D$8 / $F$4)), IF(D$9="Split Equally", D$8 / COUNTA($A$13:$A$22), IF(D$9="Split (Top 3)", IF(ROW()&lt;=15, D$8 / 3, 0), 0))), 0))</f>
        <v/>
      </c>
      <c r="E17" s="14">
        <f>IF(ISBLANK($A17), "", IFERROR(IF(E$9="By Days Present", SUMPRODUCT(((C$39:AG$39=0)/COUNTA($A$13:$A$22) + (C33:AG33/(C$39:AG$39 + (C$39:AG$39=0)))*(C$39:AG$39&gt;0)), (C$28:AG$28&lt;&gt;"") * (E$8 / $F$4)), IF(E$9="Split Equally", E$8 / COUNTA($A$13:$A$22), IF(E$9="Split (Top 3)", IF(ROW()&lt;=15, E$8 / 3, 0), 0))), 0))</f>
        <v/>
      </c>
      <c r="F17" s="14">
        <f>IF(ISBLANK($A17), "", IFERROR(IF(F$9="By Days Present", SUMPRODUCT(((C$39:AG$39=0)/COUNTA($A$13:$A$22) + (C33:AG33/(C$39:AG$39 + (C$39:AG$39=0)))*(C$39:AG$39&gt;0)), (C$28:AG$28&lt;&gt;"") * (F$8 / $F$4)), IF(F$9="Split Equally", F$8 / COUNTA($A$13:$A$22), IF(F$9="Split (Top 3)", IF(ROW()&lt;=15, F$8 / 3, 0), 0))), 0))</f>
        <v/>
      </c>
      <c r="G17" s="10">
        <f>IF(ISBLANK($A17), "", SUM(C17:F17))</f>
        <v/>
      </c>
    </row>
    <row r="18" ht="20" customHeight="1" s="29">
      <c r="A18" s="12" t="n"/>
      <c r="B18" s="13">
        <f>B34</f>
        <v/>
      </c>
      <c r="C18" s="15">
        <f>IF(ISBLANK($A18), "", IFERROR(IF(C$9="By Days Present", SUMPRODUCT((C$39:AG$39=0) + C34:AG34*(C$39:AG$39&gt;0), C$40:AG$40), IF(C$9="Split Equally", C$8 / COUNTA($A$13:$A$22), IF(C$9="Split (Top 3)", IF(ROW()&lt;=15, C$8 / 3, 0), 0))), 0))</f>
        <v/>
      </c>
      <c r="D18" s="15">
        <f>IF(ISBLANK($A18), "", IFERROR(IF(D$9="By Days Present", SUMPRODUCT(((C$39:AG$39=0)/COUNTA($A$13:$A$22) + (C34:AG34/(C$39:AG$39 + (C$39:AG$39=0)))*(C$39:AG$39&gt;0)), (C$28:AG$28&lt;&gt;"") * (D$8 / $F$4)), IF(D$9="Split Equally", D$8 / COUNTA($A$13:$A$22), IF(D$9="Split (Top 3)", IF(ROW()&lt;=15, D$8 / 3, 0), 0))), 0))</f>
        <v/>
      </c>
      <c r="E18" s="15">
        <f>IF(ISBLANK($A18), "", IFERROR(IF(E$9="By Days Present", SUMPRODUCT(((C$39:AG$39=0)/COUNTA($A$13:$A$22) + (C34:AG34/(C$39:AG$39 + (C$39:AG$39=0)))*(C$39:AG$39&gt;0)), (C$28:AG$28&lt;&gt;"") * (E$8 / $F$4)), IF(E$9="Split Equally", E$8 / COUNTA($A$13:$A$22), IF(E$9="Split (Top 3)", IF(ROW()&lt;=15, E$8 / 3, 0), 0))), 0))</f>
        <v/>
      </c>
      <c r="F18" s="15">
        <f>IF(ISBLANK($A18), "", IFERROR(IF(F$9="By Days Present", SUMPRODUCT(((C$39:AG$39=0)/COUNTA($A$13:$A$22) + (C34:AG34/(C$39:AG$39 + (C$39:AG$39=0)))*(C$39:AG$39&gt;0)), (C$28:AG$28&lt;&gt;"") * (F$8 / $F$4)), IF(F$9="Split Equally", F$8 / COUNTA($A$13:$A$22), IF(F$9="Split (Top 3)", IF(ROW()&lt;=15, F$8 / 3, 0), 0))), 0))</f>
        <v/>
      </c>
      <c r="G18" s="10">
        <f>IF(ISBLANK($A18), "", SUM(C18:F18))</f>
        <v/>
      </c>
    </row>
    <row r="19" ht="20" customHeight="1" s="29">
      <c r="A19" s="12" t="n"/>
      <c r="B19" s="13">
        <f>B35</f>
        <v/>
      </c>
      <c r="C19" s="14">
        <f>IF(ISBLANK($A19), "", IFERROR(IF(C$9="By Days Present", SUMPRODUCT((C$39:AG$39=0) + C35:AG35*(C$39:AG$39&gt;0), C$40:AG$40), IF(C$9="Split Equally", C$8 / COUNTA($A$13:$A$22), IF(C$9="Split (Top 3)", IF(ROW()&lt;=15, C$8 / 3, 0), 0))), 0))</f>
        <v/>
      </c>
      <c r="D19" s="14">
        <f>IF(ISBLANK($A19), "", IFERROR(IF(D$9="By Days Present", SUMPRODUCT(((C$39:AG$39=0)/COUNTA($A$13:$A$22) + (C35:AG35/(C$39:AG$39 + (C$39:AG$39=0)))*(C$39:AG$39&gt;0)), (C$28:AG$28&lt;&gt;"") * (D$8 / $F$4)), IF(D$9="Split Equally", D$8 / COUNTA($A$13:$A$22), IF(D$9="Split (Top 3)", IF(ROW()&lt;=15, D$8 / 3, 0), 0))), 0))</f>
        <v/>
      </c>
      <c r="E19" s="14">
        <f>IF(ISBLANK($A19), "", IFERROR(IF(E$9="By Days Present", SUMPRODUCT(((C$39:AG$39=0)/COUNTA($A$13:$A$22) + (C35:AG35/(C$39:AG$39 + (C$39:AG$39=0)))*(C$39:AG$39&gt;0)), (C$28:AG$28&lt;&gt;"") * (E$8 / $F$4)), IF(E$9="Split Equally", E$8 / COUNTA($A$13:$A$22), IF(E$9="Split (Top 3)", IF(ROW()&lt;=15, E$8 / 3, 0), 0))), 0))</f>
        <v/>
      </c>
      <c r="F19" s="14">
        <f>IF(ISBLANK($A19), "", IFERROR(IF(F$9="By Days Present", SUMPRODUCT(((C$39:AG$39=0)/COUNTA($A$13:$A$22) + (C35:AG35/(C$39:AG$39 + (C$39:AG$39=0)))*(C$39:AG$39&gt;0)), (C$28:AG$28&lt;&gt;"") * (F$8 / $F$4)), IF(F$9="Split Equally", F$8 / COUNTA($A$13:$A$22), IF(F$9="Split (Top 3)", IF(ROW()&lt;=15, F$8 / 3, 0), 0))), 0))</f>
        <v/>
      </c>
      <c r="G19" s="10">
        <f>IF(ISBLANK($A19), "", SUM(C19:F19))</f>
        <v/>
      </c>
    </row>
    <row r="20" ht="20" customHeight="1" s="29">
      <c r="A20" s="12" t="n"/>
      <c r="B20" s="13">
        <f>B36</f>
        <v/>
      </c>
      <c r="C20" s="15">
        <f>IF(ISBLANK($A20), "", IFERROR(IF(C$9="By Days Present", SUMPRODUCT((C$39:AG$39=0) + C36:AG36*(C$39:AG$39&gt;0), C$40:AG$40), IF(C$9="Split Equally", C$8 / COUNTA($A$13:$A$22), IF(C$9="Split (Top 3)", IF(ROW()&lt;=15, C$8 / 3, 0), 0))), 0))</f>
        <v/>
      </c>
      <c r="D20" s="15">
        <f>IF(ISBLANK($A20), "", IFERROR(IF(D$9="By Days Present", SUMPRODUCT(((C$39:AG$39=0)/COUNTA($A$13:$A$22) + (C36:AG36/(C$39:AG$39 + (C$39:AG$39=0)))*(C$39:AG$39&gt;0)), (C$28:AG$28&lt;&gt;"") * (D$8 / $F$4)), IF(D$9="Split Equally", D$8 / COUNTA($A$13:$A$22), IF(D$9="Split (Top 3)", IF(ROW()&lt;=15, D$8 / 3, 0), 0))), 0))</f>
        <v/>
      </c>
      <c r="E20" s="15">
        <f>IF(ISBLANK($A20), "", IFERROR(IF(E$9="By Days Present", SUMPRODUCT(((C$39:AG$39=0)/COUNTA($A$13:$A$22) + (C36:AG36/(C$39:AG$39 + (C$39:AG$39=0)))*(C$39:AG$39&gt;0)), (C$28:AG$28&lt;&gt;"") * (E$8 / $F$4)), IF(E$9="Split Equally", E$8 / COUNTA($A$13:$A$22), IF(E$9="Split (Top 3)", IF(ROW()&lt;=15, E$8 / 3, 0), 0))), 0))</f>
        <v/>
      </c>
      <c r="F20" s="15">
        <f>IF(ISBLANK($A20), "", IFERROR(IF(F$9="By Days Present", SUMPRODUCT(((C$39:AG$39=0)/COUNTA($A$13:$A$22) + (C36:AG36/(C$39:AG$39 + (C$39:AG$39=0)))*(C$39:AG$39&gt;0)), (C$28:AG$28&lt;&gt;"") * (F$8 / $F$4)), IF(F$9="Split Equally", F$8 / COUNTA($A$13:$A$22), IF(F$9="Split (Top 3)", IF(ROW()&lt;=15, F$8 / 3, 0), 0))), 0))</f>
        <v/>
      </c>
      <c r="G20" s="10">
        <f>IF(ISBLANK($A20), "", SUM(C20:F20))</f>
        <v/>
      </c>
    </row>
    <row r="21" ht="20" customHeight="1" s="29">
      <c r="A21" s="12" t="n"/>
      <c r="B21" s="13">
        <f>B37</f>
        <v/>
      </c>
      <c r="C21" s="14">
        <f>IF(ISBLANK($A21), "", IFERROR(IF(C$9="By Days Present", SUMPRODUCT((C$39:AG$39=0) + C37:AG37*(C$39:AG$39&gt;0), C$40:AG$40), IF(C$9="Split Equally", C$8 / COUNTA($A$13:$A$22), IF(C$9="Split (Top 3)", IF(ROW()&lt;=15, C$8 / 3, 0), 0))), 0))</f>
        <v/>
      </c>
      <c r="D21" s="14">
        <f>IF(ISBLANK($A21), "", IFERROR(IF(D$9="By Days Present", SUMPRODUCT(((C$39:AG$39=0)/COUNTA($A$13:$A$22) + (C37:AG37/(C$39:AG$39 + (C$39:AG$39=0)))*(C$39:AG$39&gt;0)), (C$28:AG$28&lt;&gt;"") * (D$8 / $F$4)), IF(D$9="Split Equally", D$8 / COUNTA($A$13:$A$22), IF(D$9="Split (Top 3)", IF(ROW()&lt;=15, D$8 / 3, 0), 0))), 0))</f>
        <v/>
      </c>
      <c r="E21" s="14">
        <f>IF(ISBLANK($A21), "", IFERROR(IF(E$9="By Days Present", SUMPRODUCT(((C$39:AG$39=0)/COUNTA($A$13:$A$22) + (C37:AG37/(C$39:AG$39 + (C$39:AG$39=0)))*(C$39:AG$39&gt;0)), (C$28:AG$28&lt;&gt;"") * (E$8 / $F$4)), IF(E$9="Split Equally", E$8 / COUNTA($A$13:$A$22), IF(E$9="Split (Top 3)", IF(ROW()&lt;=15, E$8 / 3, 0), 0))), 0))</f>
        <v/>
      </c>
      <c r="F21" s="14">
        <f>IF(ISBLANK($A21), "", IFERROR(IF(F$9="By Days Present", SUMPRODUCT(((C$39:AG$39=0)/COUNTA($A$13:$A$22) + (C37:AG37/(C$39:AG$39 + (C$39:AG$39=0)))*(C$39:AG$39&gt;0)), (C$28:AG$28&lt;&gt;"") * (F$8 / $F$4)), IF(F$9="Split Equally", F$8 / COUNTA($A$13:$A$22), IF(F$9="Split (Top 3)", IF(ROW()&lt;=15, F$8 / 3, 0), 0))), 0))</f>
        <v/>
      </c>
      <c r="G21" s="10">
        <f>IF(ISBLANK($A21), "", SUM(C21:F21))</f>
        <v/>
      </c>
    </row>
    <row r="22" ht="20" customHeight="1" s="29">
      <c r="A22" s="12" t="n"/>
      <c r="B22" s="13">
        <f>B38</f>
        <v/>
      </c>
      <c r="C22" s="15">
        <f>IF(ISBLANK($A22), "", IFERROR(IF(C$9="By Days Present", SUMPRODUCT((C$39:AG$39=0) + C38:AG38*(C$39:AG$39&gt;0), C$40:AG$40), IF(C$9="Split Equally", C$8 / COUNTA($A$13:$A$22), IF(C$9="Split (Top 3)", IF(ROW()&lt;=15, C$8 / 3, 0), 0))), 0))</f>
        <v/>
      </c>
      <c r="D22" s="15">
        <f>IF(ISBLANK($A22), "", IFERROR(IF(D$9="By Days Present", SUMPRODUCT(((C$39:AG$39=0)/COUNTA($A$13:$A$22) + (C38:AG38/(C$39:AG$39 + (C$39:AG$39=0)))*(C$39:AG$39&gt;0)), (C$28:AG$28&lt;&gt;"") * (D$8 / $F$4)), IF(D$9="Split Equally", D$8 / COUNTA($A$13:$A$22), IF(D$9="Split (Top 3)", IF(ROW()&lt;=15, D$8 / 3, 0), 0))), 0))</f>
        <v/>
      </c>
      <c r="E22" s="15">
        <f>IF(ISBLANK($A22), "", IFERROR(IF(E$9="By Days Present", SUMPRODUCT(((C$39:AG$39=0)/COUNTA($A$13:$A$22) + (C38:AG38/(C$39:AG$39 + (C$39:AG$39=0)))*(C$39:AG$39&gt;0)), (C$28:AG$28&lt;&gt;"") * (E$8 / $F$4)), IF(E$9="Split Equally", E$8 / COUNTA($A$13:$A$22), IF(E$9="Split (Top 3)", IF(ROW()&lt;=15, E$8 / 3, 0), 0))), 0))</f>
        <v/>
      </c>
      <c r="F22" s="15">
        <f>IF(ISBLANK($A22), "", IFERROR(IF(F$9="By Days Present", SUMPRODUCT(((C$39:AG$39=0)/COUNTA($A$13:$A$22) + (C38:AG38/(C$39:AG$39 + (C$39:AG$39=0)))*(C$39:AG$39&gt;0)), (C$28:AG$28&lt;&gt;"") * (F$8 / $F$4)), IF(F$9="Split Equally", F$8 / COUNTA($A$13:$A$22), IF(F$9="Split (Top 3)", IF(ROW()&lt;=15, F$8 / 3, 0), 0))), 0))</f>
        <v/>
      </c>
      <c r="G22" s="10">
        <f>IF(ISBLANK($A22), "", SUM(C22:F22))</f>
        <v/>
      </c>
    </row>
    <row r="23" ht="22" customHeight="1" s="29">
      <c r="A23" s="16" t="inlineStr">
        <is>
          <t>Total Allocated Share</t>
        </is>
      </c>
      <c r="B23" s="17">
        <f>SUM(B13:B22)</f>
        <v/>
      </c>
      <c r="C23" s="18">
        <f>SUM(C13:C22)</f>
        <v/>
      </c>
      <c r="D23" s="18">
        <f>SUM(D13:D22)</f>
        <v/>
      </c>
      <c r="E23" s="18">
        <f>SUM(E13:E22)</f>
        <v/>
      </c>
      <c r="F23" s="18">
        <f>SUM(F13:F22)</f>
        <v/>
      </c>
      <c r="G23" s="18">
        <f>SUM(G13:G22)</f>
        <v/>
      </c>
    </row>
    <row r="24" ht="22" customHeight="1" s="29">
      <c r="A24" s="8" t="inlineStr">
        <is>
          <t>Actual Total Bill Amount</t>
        </is>
      </c>
      <c r="B24" s="11" t="n"/>
      <c r="C24" s="14">
        <f>C8</f>
        <v/>
      </c>
      <c r="D24" s="14">
        <f>D8</f>
        <v/>
      </c>
      <c r="E24" s="14">
        <f>E8</f>
        <v/>
      </c>
      <c r="F24" s="14">
        <f>F8</f>
        <v/>
      </c>
      <c r="G24" s="19">
        <f>G8</f>
        <v/>
      </c>
    </row>
    <row r="25" ht="22" customHeight="1" s="29">
      <c r="A25" s="8" t="inlineStr">
        <is>
          <t>Reconciliation Status</t>
        </is>
      </c>
      <c r="B25" s="11" t="n"/>
      <c r="C25" s="20">
        <f>IF(ABS(C23-C24)&lt;0.01, "✔ Balanced", "❌ Unbalanced")</f>
        <v/>
      </c>
      <c r="D25" s="20">
        <f>IF(ABS(D23-D24)&lt;0.01, "✔ Balanced", "❌ Unbalanced")</f>
        <v/>
      </c>
      <c r="E25" s="20">
        <f>IF(ABS(E23-E24)&lt;0.01, "✔ Balanced", "❌ Unbalanced")</f>
        <v/>
      </c>
      <c r="F25" s="20">
        <f>IF(ABS(F23-F24)&lt;0.01, "✔ Balanced", "❌ Unbalanced")</f>
        <v/>
      </c>
      <c r="G25" s="20">
        <f>IF(ABS(G23-G24)&lt;0.01, "✔ Balanced", "❌ Unbalanced")</f>
        <v/>
      </c>
    </row>
    <row r="27" ht="24" customHeight="1" s="29">
      <c r="A27" s="31" t="inlineStr">
        <is>
          <t>3. DAILY OCCUPANCY TRACKER (Simply enter '1' for each day an occupant is present; leave blank or enter '0' if absent)</t>
        </is>
      </c>
    </row>
    <row r="28" ht="25" customHeight="1" s="29">
      <c r="A28" s="4" t="inlineStr">
        <is>
          <t>Occupant Name</t>
        </is>
      </c>
      <c r="B28" s="6" t="inlineStr">
        <is>
          <t>Total Days</t>
        </is>
      </c>
      <c r="C28" s="21">
        <f>IF(OR($B$4="", ISBLANK($B$4)), "", IF(ISNUMBER($B$4), $B$4, DATEVALUE($B$4)))</f>
        <v/>
      </c>
      <c r="D28" s="21">
        <f>IF(C28="", "", IF(C28+1 &lt;= IF(ISNUMBER($D$4), $D$4, DATEVALUE($D$4)), C28+1, ""))</f>
        <v/>
      </c>
      <c r="E28" s="21">
        <f>IF(D28="", "", IF(D28+1 &lt;= IF(ISNUMBER($D$4), $D$4, DATEVALUE($D$4)), D28+1, ""))</f>
        <v/>
      </c>
      <c r="F28" s="21">
        <f>IF(E28="", "", IF(E28+1 &lt;= IF(ISNUMBER($D$4), $D$4, DATEVALUE($D$4)), E28+1, ""))</f>
        <v/>
      </c>
      <c r="G28" s="21">
        <f>IF(F28="", "", IF(F28+1 &lt;= IF(ISNUMBER($D$4), $D$4, DATEVALUE($D$4)), F28+1, ""))</f>
        <v/>
      </c>
      <c r="H28" s="21">
        <f>IF(G28="", "", IF(G28+1 &lt;= IF(ISNUMBER($D$4), $D$4, DATEVALUE($D$4)), G28+1, ""))</f>
        <v/>
      </c>
      <c r="I28" s="21">
        <f>IF(H28="", "", IF(H28+1 &lt;= IF(ISNUMBER($D$4), $D$4, DATEVALUE($D$4)), H28+1, ""))</f>
        <v/>
      </c>
      <c r="J28" s="21">
        <f>IF(I28="", "", IF(I28+1 &lt;= IF(ISNUMBER($D$4), $D$4, DATEVALUE($D$4)), I28+1, ""))</f>
        <v/>
      </c>
      <c r="K28" s="21">
        <f>IF(J28="", "", IF(J28+1 &lt;= IF(ISNUMBER($D$4), $D$4, DATEVALUE($D$4)), J28+1, ""))</f>
        <v/>
      </c>
      <c r="L28" s="21">
        <f>IF(K28="", "", IF(K28+1 &lt;= IF(ISNUMBER($D$4), $D$4, DATEVALUE($D$4)), K28+1, ""))</f>
        <v/>
      </c>
      <c r="M28" s="21">
        <f>IF(L28="", "", IF(L28+1 &lt;= IF(ISNUMBER($D$4), $D$4, DATEVALUE($D$4)), L28+1, ""))</f>
        <v/>
      </c>
      <c r="N28" s="21">
        <f>IF(M28="", "", IF(M28+1 &lt;= IF(ISNUMBER($D$4), $D$4, DATEVALUE($D$4)), M28+1, ""))</f>
        <v/>
      </c>
      <c r="O28" s="21">
        <f>IF(N28="", "", IF(N28+1 &lt;= IF(ISNUMBER($D$4), $D$4, DATEVALUE($D$4)), N28+1, ""))</f>
        <v/>
      </c>
      <c r="P28" s="21">
        <f>IF(O28="", "", IF(O28+1 &lt;= IF(ISNUMBER($D$4), $D$4, DATEVALUE($D$4)), O28+1, ""))</f>
        <v/>
      </c>
      <c r="Q28" s="21">
        <f>IF(P28="", "", IF(P28+1 &lt;= IF(ISNUMBER($D$4), $D$4, DATEVALUE($D$4)), P28+1, ""))</f>
        <v/>
      </c>
      <c r="R28" s="21">
        <f>IF(Q28="", "", IF(Q28+1 &lt;= IF(ISNUMBER($D$4), $D$4, DATEVALUE($D$4)), Q28+1, ""))</f>
        <v/>
      </c>
      <c r="S28" s="21">
        <f>IF(R28="", "", IF(R28+1 &lt;= IF(ISNUMBER($D$4), $D$4, DATEVALUE($D$4)), R28+1, ""))</f>
        <v/>
      </c>
      <c r="T28" s="21">
        <f>IF(S28="", "", IF(S28+1 &lt;= IF(ISNUMBER($D$4), $D$4, DATEVALUE($D$4)), S28+1, ""))</f>
        <v/>
      </c>
      <c r="U28" s="21">
        <f>IF(T28="", "", IF(T28+1 &lt;= IF(ISNUMBER($D$4), $D$4, DATEVALUE($D$4)), T28+1, ""))</f>
        <v/>
      </c>
      <c r="V28" s="21">
        <f>IF(U28="", "", IF(U28+1 &lt;= IF(ISNUMBER($D$4), $D$4, DATEVALUE($D$4)), U28+1, ""))</f>
        <v/>
      </c>
      <c r="W28" s="21">
        <f>IF(V28="", "", IF(V28+1 &lt;= IF(ISNUMBER($D$4), $D$4, DATEVALUE($D$4)), V28+1, ""))</f>
        <v/>
      </c>
      <c r="X28" s="21">
        <f>IF(W28="", "", IF(W28+1 &lt;= IF(ISNUMBER($D$4), $D$4, DATEVALUE($D$4)), W28+1, ""))</f>
        <v/>
      </c>
      <c r="Y28" s="21">
        <f>IF(X28="", "", IF(X28+1 &lt;= IF(ISNUMBER($D$4), $D$4, DATEVALUE($D$4)), X28+1, ""))</f>
        <v/>
      </c>
      <c r="Z28" s="21">
        <f>IF(Y28="", "", IF(Y28+1 &lt;= IF(ISNUMBER($D$4), $D$4, DATEVALUE($D$4)), Y28+1, ""))</f>
        <v/>
      </c>
      <c r="AA28" s="21">
        <f>IF(Z28="", "", IF(Z28+1 &lt;= IF(ISNUMBER($D$4), $D$4, DATEVALUE($D$4)), Z28+1, ""))</f>
        <v/>
      </c>
      <c r="AB28" s="21">
        <f>IF(AA28="", "", IF(AA28+1 &lt;= IF(ISNUMBER($D$4), $D$4, DATEVALUE($D$4)), AA28+1, ""))</f>
        <v/>
      </c>
      <c r="AC28" s="21">
        <f>IF(AB28="", "", IF(AB28+1 &lt;= IF(ISNUMBER($D$4), $D$4, DATEVALUE($D$4)), AB28+1, ""))</f>
        <v/>
      </c>
      <c r="AD28" s="21">
        <f>IF(AC28="", "", IF(AC28+1 &lt;= IF(ISNUMBER($D$4), $D$4, DATEVALUE($D$4)), AC28+1, ""))</f>
        <v/>
      </c>
      <c r="AE28" s="21">
        <f>IF(AD28="", "", IF(AD28+1 &lt;= IF(ISNUMBER($D$4), $D$4, DATEVALUE($D$4)), AD28+1, ""))</f>
        <v/>
      </c>
      <c r="AF28" s="21">
        <f>IF(AE28="", "", IF(AE28+1 &lt;= IF(ISNUMBER($D$4), $D$4, DATEVALUE($D$4)), AE28+1, ""))</f>
        <v/>
      </c>
      <c r="AG28" s="21">
        <f>IF(AF28="", "", IF(AF28+1 &lt;= IF(ISNUMBER($D$4), $D$4, DATEVALUE($D$4)), AF28+1, ""))</f>
        <v/>
      </c>
      <c r="AH28" s="21">
        <f>IF(AG28="","",IF(AG28+1&lt;=$D$4,AG28+1,""))</f>
        <v/>
      </c>
    </row>
    <row r="29" ht="20" customHeight="1" s="29">
      <c r="A29" s="22">
        <f>A13</f>
        <v/>
      </c>
      <c r="B29" s="23">
        <f>SUMIF(C$28:AG$28, "&lt;&gt;", C29:AG29)</f>
        <v/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 ht="20" customHeight="1" s="29">
      <c r="A30" s="22">
        <f>A14</f>
        <v/>
      </c>
      <c r="B30" s="23">
        <f>SUMIF(C$28:AG$28, "&lt;&gt;", C30:AG30)</f>
        <v/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</row>
    <row r="31" ht="20" customHeight="1" s="29">
      <c r="A31" s="22">
        <f>A15</f>
        <v/>
      </c>
      <c r="B31" s="23">
        <f>SUMIF(C$28:AG$28, "&lt;&gt;", C31:AG31)</f>
        <v/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 ht="20" customHeight="1" s="29">
      <c r="A32" s="22">
        <f>A16</f>
        <v/>
      </c>
      <c r="B32" s="23">
        <f>SUMIF(C$28:AG$28, "&lt;&gt;", C32:AG32)</f>
        <v/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</row>
    <row r="33" ht="20" customHeight="1" s="29">
      <c r="A33" s="22">
        <f>A17</f>
        <v/>
      </c>
      <c r="B33" s="23">
        <f>SUMIF(C$28:AG$28, "&lt;&gt;", C33:AG33)</f>
        <v/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</row>
    <row r="34" ht="20" customHeight="1" s="29">
      <c r="A34" s="22">
        <f>A18</f>
        <v/>
      </c>
      <c r="B34" s="23">
        <f>SUMIF(C$28:AG$28, "&lt;&gt;", C34:AG34)</f>
        <v/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 ht="20" customHeight="1" s="29">
      <c r="A35" s="22">
        <f>A19</f>
        <v/>
      </c>
      <c r="B35" s="23">
        <f>SUMIF(C$28:AG$28, "&lt;&gt;", C35:AG35)</f>
        <v/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 ht="20" customHeight="1" s="29">
      <c r="A36" s="22">
        <f>A20</f>
        <v/>
      </c>
      <c r="B36" s="23">
        <f>SUMIF(C$28:AG$28, "&lt;&gt;", C36:AG36)</f>
        <v/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 ht="20" customHeight="1" s="29">
      <c r="A37" s="22">
        <f>A21</f>
        <v/>
      </c>
      <c r="B37" s="23">
        <f>SUMIF(C$28:AG$28, "&lt;&gt;", C37:AG37)</f>
        <v/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 ht="20" customHeight="1" s="29">
      <c r="A38" s="22">
        <f>A22</f>
        <v/>
      </c>
      <c r="B38" s="23">
        <f>SUMIF(C$28:AG$28, "&lt;&gt;", C38:AG38)</f>
        <v/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 ht="22" customHeight="1" s="29">
      <c r="A39" s="8" t="inlineStr">
        <is>
          <t>Total Present</t>
        </is>
      </c>
      <c r="B39" s="24">
        <f>SUM(B29:B38)</f>
        <v/>
      </c>
      <c r="C39" s="25">
        <f>IF(C$28="","",SUM(C29:C38))</f>
        <v/>
      </c>
      <c r="D39" s="25">
        <f>IF(D$28="","",SUM(D29:D38))</f>
        <v/>
      </c>
      <c r="E39" s="25">
        <f>IF(E$28="","",SUM(E29:E38))</f>
        <v/>
      </c>
      <c r="F39" s="25">
        <f>IF(F$28="","",SUM(F29:F38))</f>
        <v/>
      </c>
      <c r="G39" s="25">
        <f>IF(G$28="","",SUM(G29:G38))</f>
        <v/>
      </c>
      <c r="H39" s="25">
        <f>IF(H$28="","",SUM(H29:H38))</f>
        <v/>
      </c>
      <c r="I39" s="25">
        <f>IF(I$28="","",SUM(I29:I38))</f>
        <v/>
      </c>
      <c r="J39" s="25">
        <f>IF(J$28="","",SUM(J29:J38))</f>
        <v/>
      </c>
      <c r="K39" s="25">
        <f>IF(K$28="","",SUM(K29:K38))</f>
        <v/>
      </c>
      <c r="L39" s="25">
        <f>IF(L$28="","",SUM(L29:L38))</f>
        <v/>
      </c>
      <c r="M39" s="25">
        <f>IF(M$28="","",SUM(M29:M38))</f>
        <v/>
      </c>
      <c r="N39" s="25">
        <f>IF(N$28="","",SUM(N29:N38))</f>
        <v/>
      </c>
      <c r="O39" s="25">
        <f>IF(O$28="","",SUM(O29:O38))</f>
        <v/>
      </c>
      <c r="P39" s="25">
        <f>IF(P$28="","",SUM(P29:P38))</f>
        <v/>
      </c>
      <c r="Q39" s="25">
        <f>IF(Q$28="","",SUM(Q29:Q38))</f>
        <v/>
      </c>
      <c r="R39" s="25">
        <f>IF(R$28="","",SUM(R29:R38))</f>
        <v/>
      </c>
      <c r="S39" s="25">
        <f>IF(S$28="","",SUM(S29:S38))</f>
        <v/>
      </c>
      <c r="T39" s="25">
        <f>IF(T$28="","",SUM(T29:T38))</f>
        <v/>
      </c>
      <c r="U39" s="25">
        <f>IF(U$28="","",SUM(U29:U38))</f>
        <v/>
      </c>
      <c r="V39" s="25">
        <f>IF(V$28="","",SUM(V29:V38))</f>
        <v/>
      </c>
      <c r="W39" s="25">
        <f>IF(W$28="","",SUM(W29:W38))</f>
        <v/>
      </c>
      <c r="X39" s="25">
        <f>IF(X$28="","",SUM(X29:X38))</f>
        <v/>
      </c>
      <c r="Y39" s="25">
        <f>IF(Y$28="","",SUM(Y29:Y38))</f>
        <v/>
      </c>
      <c r="Z39" s="25">
        <f>IF(Z$28="","",SUM(Z29:Z38))</f>
        <v/>
      </c>
      <c r="AA39" s="25">
        <f>IF(AA$28="","",SUM(AA29:AA38))</f>
        <v/>
      </c>
      <c r="AB39" s="25">
        <f>IF(AB$28="","",SUM(AB29:AB38))</f>
        <v/>
      </c>
      <c r="AC39" s="25">
        <f>IF(AC$28="","",SUM(AC29:AC38))</f>
        <v/>
      </c>
      <c r="AD39" s="25">
        <f>IF(AD$28="","",SUM(AD29:AD38))</f>
        <v/>
      </c>
      <c r="AE39" s="25">
        <f>IF(AE$28="","",SUM(AE29:AE38))</f>
        <v/>
      </c>
      <c r="AF39" s="25">
        <f>IF(AF$28="","",SUM(AF29:AF38))</f>
        <v/>
      </c>
      <c r="AG39" s="25">
        <f>IF(AG$28="","",SUM(AG29:AG38))</f>
        <v/>
      </c>
    </row>
    <row r="40" ht="22" customHeight="1" s="29">
      <c r="A40" s="8" t="inlineStr">
        <is>
          <t>PUB Cost per Person/Day</t>
        </is>
      </c>
      <c r="B40" s="26">
        <f>SUM(C40:AG40)</f>
        <v/>
      </c>
      <c r="C40" s="14">
        <f>IF(C$28="", "", IF(C39&gt;0, (C$8 / $F$4) / C39, (C$8 / $F$4) / COUNTA($A$13:$A$22)))</f>
        <v/>
      </c>
      <c r="D40" s="14">
        <f>IF(D$28="", "", IF(D39&gt;0, (C$8 / $F$4) / D39, (C$8 / $F$4) / COUNTA($A$13:$A$22)))</f>
        <v/>
      </c>
      <c r="E40" s="14">
        <f>IF(E$28="", "", IF(E39&gt;0, (C$8 / $F$4) / E39, (C$8 / $F$4) / COUNTA($A$13:$A$22)))</f>
        <v/>
      </c>
      <c r="F40" s="14">
        <f>IF(F$28="", "", IF(F39&gt;0, (C$8 / $F$4) / F39, (C$8 / $F$4) / COUNTA($A$13:$A$22)))</f>
        <v/>
      </c>
      <c r="G40" s="14">
        <f>IF(G$28="", "", IF(G39&gt;0, (C$8 / $F$4) / G39, (C$8 / $F$4) / COUNTA($A$13:$A$22)))</f>
        <v/>
      </c>
      <c r="H40" s="14">
        <f>IF(H$28="", "", IF(H39&gt;0, (C$8 / $F$4) / H39, (C$8 / $F$4) / COUNTA($A$13:$A$22)))</f>
        <v/>
      </c>
      <c r="I40" s="14">
        <f>IF(I$28="", "", IF(I39&gt;0, (C$8 / $F$4) / I39, (C$8 / $F$4) / COUNTA($A$13:$A$22)))</f>
        <v/>
      </c>
      <c r="J40" s="14">
        <f>IF(J$28="", "", IF(J39&gt;0, (C$8 / $F$4) / J39, (C$8 / $F$4) / COUNTA($A$13:$A$22)))</f>
        <v/>
      </c>
      <c r="K40" s="14">
        <f>IF(K$28="", "", IF(K39&gt;0, (C$8 / $F$4) / K39, (C$8 / $F$4) / COUNTA($A$13:$A$22)))</f>
        <v/>
      </c>
      <c r="L40" s="14">
        <f>IF(L$28="", "", IF(L39&gt;0, (C$8 / $F$4) / L39, (C$8 / $F$4) / COUNTA($A$13:$A$22)))</f>
        <v/>
      </c>
      <c r="M40" s="14">
        <f>IF(M$28="", "", IF(M39&gt;0, (C$8 / $F$4) / M39, (C$8 / $F$4) / COUNTA($A$13:$A$22)))</f>
        <v/>
      </c>
      <c r="N40" s="14">
        <f>IF(N$28="", "", IF(N39&gt;0, (C$8 / $F$4) / N39, (C$8 / $F$4) / COUNTA($A$13:$A$22)))</f>
        <v/>
      </c>
      <c r="O40" s="14">
        <f>IF(O$28="", "", IF(O39&gt;0, (C$8 / $F$4) / O39, (C$8 / $F$4) / COUNTA($A$13:$A$22)))</f>
        <v/>
      </c>
      <c r="P40" s="14">
        <f>IF(P$28="", "", IF(P39&gt;0, (C$8 / $F$4) / P39, (C$8 / $F$4) / COUNTA($A$13:$A$22)))</f>
        <v/>
      </c>
      <c r="Q40" s="14">
        <f>IF(Q$28="", "", IF(Q39&gt;0, (C$8 / $F$4) / Q39, (C$8 / $F$4) / COUNTA($A$13:$A$22)))</f>
        <v/>
      </c>
      <c r="R40" s="14">
        <f>IF(R$28="", "", IF(R39&gt;0, (C$8 / $F$4) / R39, (C$8 / $F$4) / COUNTA($A$13:$A$22)))</f>
        <v/>
      </c>
      <c r="S40" s="14">
        <f>IF(S$28="", "", IF(S39&gt;0, (C$8 / $F$4) / S39, (C$8 / $F$4) / COUNTA($A$13:$A$22)))</f>
        <v/>
      </c>
      <c r="T40" s="14">
        <f>IF(T$28="", "", IF(T39&gt;0, (C$8 / $F$4) / T39, (C$8 / $F$4) / COUNTA($A$13:$A$22)))</f>
        <v/>
      </c>
      <c r="U40" s="14">
        <f>IF(U$28="", "", IF(U39&gt;0, (C$8 / $F$4) / U39, (C$8 / $F$4) / COUNTA($A$13:$A$22)))</f>
        <v/>
      </c>
      <c r="V40" s="14">
        <f>IF(V$28="", "", IF(V39&gt;0, (C$8 / $F$4) / V39, (C$8 / $F$4) / COUNTA($A$13:$A$22)))</f>
        <v/>
      </c>
      <c r="W40" s="14">
        <f>IF(W$28="", "", IF(W39&gt;0, (C$8 / $F$4) / W39, (C$8 / $F$4) / COUNTA($A$13:$A$22)))</f>
        <v/>
      </c>
      <c r="X40" s="14">
        <f>IF(X$28="", "", IF(X39&gt;0, (C$8 / $F$4) / X39, (C$8 / $F$4) / COUNTA($A$13:$A$22)))</f>
        <v/>
      </c>
      <c r="Y40" s="14">
        <f>IF(Y$28="", "", IF(Y39&gt;0, (C$8 / $F$4) / Y39, (C$8 / $F$4) / COUNTA($A$13:$A$22)))</f>
        <v/>
      </c>
      <c r="Z40" s="14">
        <f>IF(Z$28="", "", IF(Z39&gt;0, (C$8 / $F$4) / Z39, (C$8 / $F$4) / COUNTA($A$13:$A$22)))</f>
        <v/>
      </c>
      <c r="AA40" s="14">
        <f>IF(AA$28="", "", IF(AA39&gt;0, (C$8 / $F$4) / AA39, (C$8 / $F$4) / COUNTA($A$13:$A$22)))</f>
        <v/>
      </c>
      <c r="AB40" s="14">
        <f>IF(AB$28="", "", IF(AB39&gt;0, (C$8 / $F$4) / AB39, (C$8 / $F$4) / COUNTA($A$13:$A$22)))</f>
        <v/>
      </c>
      <c r="AC40" s="14">
        <f>IF(AC$28="", "", IF(AC39&gt;0, (C$8 / $F$4) / AC39, (C$8 / $F$4) / COUNTA($A$13:$A$22)))</f>
        <v/>
      </c>
      <c r="AD40" s="14">
        <f>IF(AD$28="", "", IF(AD39&gt;0, (C$8 / $F$4) / AD39, (C$8 / $F$4) / COUNTA($A$13:$A$22)))</f>
        <v/>
      </c>
      <c r="AE40" s="14">
        <f>IF(AE$28="", "", IF(AE39&gt;0, (C$8 / $F$4) / AE39, (C$8 / $F$4) / COUNTA($A$13:$A$22)))</f>
        <v/>
      </c>
      <c r="AF40" s="14">
        <f>IF(AF$28="", "", IF(AF39&gt;0, (C$8 / $F$4) / AF39, (C$8 / $F$4) / COUNTA($A$13:$A$22)))</f>
        <v/>
      </c>
      <c r="AG40" s="14">
        <f>IF(AG$28="", "", IF(AG39&gt;0, (C$8 / $F$4) / AG39, (C$8 / $F$4) / COUNTA($A$13:$A$22)))</f>
        <v/>
      </c>
    </row>
    <row r="42" ht="16" customHeight="1" s="29">
      <c r="A42" s="34" t="inlineStr">
        <is>
          <t>HOW TO USE THIS SHEET:</t>
        </is>
      </c>
    </row>
    <row r="43" ht="18" customHeight="1" s="29">
      <c r="A43" s="28" t="inlineStr">
        <is>
          <t>1. Enter Billing Start/End Dates in B4/D4. The billing days calculate automatically.</t>
        </is>
      </c>
    </row>
    <row r="44" ht="18" customHeight="1" s="29">
      <c r="A44" s="28" t="inlineStr">
        <is>
          <t>2. Rename any of the utility headers (C7:F7) as needed (e.g., replace 'Custom 1' with 'Netflix' or 'Gas').</t>
        </is>
      </c>
    </row>
    <row r="45" ht="18" customHeight="1" s="29">
      <c r="A45" s="28" t="inlineStr">
        <is>
          <t>3. Enter the total bill for each utility in the green boxes (C8:F8).</t>
        </is>
      </c>
    </row>
    <row r="46" ht="18" customHeight="1" s="29">
      <c r="A46" s="28" t="inlineStr">
        <is>
          <t>4. Choose split methods in green boxes (C9:F9) - choose 'By Days Present' for variable bills (like PUB), 'Split Equally' for flat bills, or 'Split (Top 3)' to split equally among the first 3 occupants only.</t>
        </is>
      </c>
    </row>
    <row r="47" ht="18" customHeight="1" s="29">
      <c r="A47" s="28" t="inlineStr">
        <is>
          <t>5. Enter occupant names in green boxes A13:A22. They will mirror automatically in the daily tracker.</t>
        </is>
      </c>
    </row>
    <row r="48" ht="18" customHeight="1" s="29">
      <c r="A48" s="28" t="inlineStr">
        <is>
          <t>6. In Section 3 (Daily Occupancy Tracker), enter '1' in the green day columns for each day an occupant is present. Leave blank or enter '0' if they are away.</t>
        </is>
      </c>
    </row>
    <row r="49" ht="18" customHeight="1" s="29">
      <c r="A49" s="28" t="inlineStr">
        <is>
          <t>7. Note: The Day columns in Section 3 link to dates in B4/D4. Changing dates will automatically gray out and disable inactive columns.</t>
        </is>
      </c>
    </row>
    <row r="50" ht="18" customHeight="1" s="29">
      <c r="A50" s="32" t="inlineStr">
        <is>
          <t>💡 Verification status displays '✔ Balanced' when individual shares match the total bill. If some people were away, PUB will show '❌ Unbalanced' to reflect the unallocated vacancy cost of empty days.</t>
        </is>
      </c>
    </row>
  </sheetData>
  <mergeCells count="14">
    <mergeCell ref="A44:G44"/>
    <mergeCell ref="A27:AG27"/>
    <mergeCell ref="A1:G1"/>
    <mergeCell ref="A6:G6"/>
    <mergeCell ref="A50:G50"/>
    <mergeCell ref="A48:G48"/>
    <mergeCell ref="A2:G2"/>
    <mergeCell ref="A42:G42"/>
    <mergeCell ref="A43:G43"/>
    <mergeCell ref="A11:G11"/>
    <mergeCell ref="A49:G49"/>
    <mergeCell ref="A47:G47"/>
    <mergeCell ref="A45:G45"/>
    <mergeCell ref="A46:G46"/>
  </mergeCells>
  <conditionalFormatting sqref="C28:AG40">
    <cfRule type="expression" priority="1" dxfId="0" stopIfTrue="1">
      <formula>C$28=""</formula>
    </cfRule>
  </conditionalFormatting>
  <dataValidations count="1">
    <dataValidation sqref="C9:F9" showDropDown="0" showInputMessage="0" showErrorMessage="0" allowBlank="0" errorTitle="Invalid Entry" error="Your entry is not in the list" promptTitle="Split Method" prompt="Please select a split method" type="list">
      <formula1>"By Days Present,Split Equally,Split (Top 3)"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0"/>
  <sheetViews>
    <sheetView workbookViewId="0">
      <selection activeCell="A1" sqref="A1"/>
    </sheetView>
  </sheetViews>
  <sheetFormatPr baseColWidth="10" defaultColWidth="8.83203125" defaultRowHeight="15"/>
  <cols>
    <col width="24" customWidth="1" style="29" min="1" max="1"/>
    <col width="16" customWidth="1" style="29" min="2" max="2"/>
    <col width="6" customWidth="1" style="29" min="3" max="33"/>
  </cols>
  <sheetData>
    <row r="1" ht="30" customHeight="1" s="29">
      <c r="A1" s="30" t="inlineStr">
        <is>
          <t>HOUSEHOLD UTILITY BILL CALCULATOR - JUNE 2027</t>
        </is>
      </c>
    </row>
    <row r="2" ht="20" customHeight="1" s="29">
      <c r="A2" s="33" t="inlineStr">
        <is>
          <t>Distribute shared bills dynamically by days present or equal split. Edit the green shaded cells; formulas do the rest.</t>
        </is>
      </c>
    </row>
    <row r="4" ht="22" customHeight="1" s="29">
      <c r="A4" s="34" t="inlineStr">
        <is>
          <t>Billing Start Date:</t>
        </is>
      </c>
      <c r="B4" s="35" t="n">
        <v>46539</v>
      </c>
      <c r="C4" s="34" t="inlineStr">
        <is>
          <t>Billing End Date:</t>
        </is>
      </c>
      <c r="D4" s="35" t="n">
        <v>46568</v>
      </c>
      <c r="E4" s="34" t="inlineStr">
        <is>
          <t>Billing Period Days:</t>
        </is>
      </c>
      <c r="F4" s="3">
        <f>IF(AND($B$4&lt;&gt;"", $D$4&lt;&gt;""), IF(ISNUMBER($D$4), $D$4, DATEVALUE($D$4)) - IF(ISNUMBER($B$4), $B$4, DATEVALUE($B$4)) + 1, "")</f>
        <v/>
      </c>
    </row>
    <row r="6" ht="24" customHeight="1" s="29">
      <c r="A6" s="31" t="inlineStr">
        <is>
          <t>1. UTILITY CONFIGURATION</t>
        </is>
      </c>
    </row>
    <row r="7" ht="25" customHeight="1" s="29">
      <c r="A7" s="4" t="inlineStr">
        <is>
          <t>Utility Item</t>
        </is>
      </c>
      <c r="B7" s="5" t="inlineStr">
        <is>
          <t>Label Description</t>
        </is>
      </c>
      <c r="C7" s="6" t="inlineStr">
        <is>
          <t>PUB</t>
        </is>
      </c>
      <c r="D7" s="6" t="inlineStr">
        <is>
          <t>Internet</t>
        </is>
      </c>
      <c r="E7" s="6" t="inlineStr">
        <is>
          <t>Custom 1</t>
        </is>
      </c>
      <c r="F7" s="6" t="inlineStr">
        <is>
          <t>Custom 2</t>
        </is>
      </c>
      <c r="G7" s="7" t="inlineStr">
        <is>
          <t>TOTAL BILL</t>
        </is>
      </c>
    </row>
    <row r="8" ht="22" customHeight="1" s="29">
      <c r="A8" s="8" t="inlineStr">
        <is>
          <t>Total Bill Amount</t>
        </is>
      </c>
      <c r="B8" s="5" t="inlineStr">
        <is>
          <t>Enter costs -&gt;</t>
        </is>
      </c>
      <c r="C8" s="9" t="n">
        <v>150</v>
      </c>
      <c r="D8" s="9" t="n">
        <v>43.7</v>
      </c>
      <c r="E8" s="9" t="n">
        <v>0</v>
      </c>
      <c r="F8" s="9" t="n">
        <v>0</v>
      </c>
      <c r="G8" s="10">
        <f>SUM(C8:F8)</f>
        <v/>
      </c>
    </row>
    <row r="9" ht="22" customHeight="1" s="29">
      <c r="A9" s="8" t="inlineStr">
        <is>
          <t>Split Method</t>
        </is>
      </c>
      <c r="B9" s="5" t="inlineStr">
        <is>
          <t>Choose method -&gt;</t>
        </is>
      </c>
      <c r="C9" s="2" t="inlineStr">
        <is>
          <t>By Days Present</t>
        </is>
      </c>
      <c r="D9" s="2" t="inlineStr">
        <is>
          <t>Split (Top 3)</t>
        </is>
      </c>
      <c r="E9" s="2" t="inlineStr">
        <is>
          <t>Split Equally</t>
        </is>
      </c>
      <c r="F9" s="2" t="inlineStr">
        <is>
          <t>Split Equally</t>
        </is>
      </c>
      <c r="G9" s="11" t="n"/>
    </row>
    <row r="11" ht="24" customHeight="1" s="29">
      <c r="A11" s="31" t="inlineStr">
        <is>
          <t>2. OCCUPANT DETAIL &amp; BILL DIVISION</t>
        </is>
      </c>
    </row>
    <row r="12" ht="25" customHeight="1" s="29">
      <c r="A12" s="4" t="inlineStr">
        <is>
          <t>Occupant Name</t>
        </is>
      </c>
      <c r="B12" s="6" t="inlineStr">
        <is>
          <t>Days Present</t>
        </is>
      </c>
      <c r="C12" s="6" t="inlineStr">
        <is>
          <t>PUB Share</t>
        </is>
      </c>
      <c r="D12" s="6" t="inlineStr">
        <is>
          <t>Internet Share</t>
        </is>
      </c>
      <c r="E12" s="6" t="inlineStr">
        <is>
          <t>Custom 1</t>
        </is>
      </c>
      <c r="F12" s="6" t="inlineStr">
        <is>
          <t>Custom 2</t>
        </is>
      </c>
      <c r="G12" s="7" t="inlineStr">
        <is>
          <t>Total Owed</t>
        </is>
      </c>
    </row>
    <row r="13" ht="20" customHeight="1" s="29">
      <c r="A13" s="12" t="inlineStr">
        <is>
          <t>Alex</t>
        </is>
      </c>
      <c r="B13" s="13">
        <f>B29</f>
        <v/>
      </c>
      <c r="C13" s="14">
        <f>IF(ISBLANK($A13), "", IFERROR(IF(C$9="By Days Present", SUMPRODUCT((C$39:AG$39=0) + C29:AG29*(C$39:AG$39&gt;0), C$40:AG$40), IF(C$9="Split Equally", C$8 / COUNTA($A$13:$A$22), IF(C$9="Split (Top 3)", IF(ROW()&lt;=15, C$8 / 3, 0), 0))), 0))</f>
        <v/>
      </c>
      <c r="D13" s="14">
        <f>IF(ISBLANK($A13), "", IFERROR(IF(D$9="By Days Present", SUMPRODUCT(((C$39:AG$39=0)/COUNTA($A$13:$A$22) + (C29:AG29/(C$39:AG$39 + (C$39:AG$39=0)))*(C$39:AG$39&gt;0)), (C$28:AG$28&lt;&gt;"") * (D$8 / $F$4)), IF(D$9="Split Equally", D$8 / COUNTA($A$13:$A$22), IF(D$9="Split (Top 3)", IF(ROW()&lt;=15, D$8 / 3, 0), 0))), 0))</f>
        <v/>
      </c>
      <c r="E13" s="14">
        <f>IF(ISBLANK($A13), "", IFERROR(IF(E$9="By Days Present", SUMPRODUCT(((C$39:AG$39=0)/COUNTA($A$13:$A$22) + (C29:AG29/(C$39:AG$39 + (C$39:AG$39=0)))*(C$39:AG$39&gt;0)), (C$28:AG$28&lt;&gt;"") * (E$8 / $F$4)), IF(E$9="Split Equally", E$8 / COUNTA($A$13:$A$22), IF(E$9="Split (Top 3)", IF(ROW()&lt;=15, E$8 / 3, 0), 0))), 0))</f>
        <v/>
      </c>
      <c r="F13" s="14">
        <f>IF(ISBLANK($A13), "", IFERROR(IF(F$9="By Days Present", SUMPRODUCT(((C$39:AG$39=0)/COUNTA($A$13:$A$22) + (C29:AG29/(C$39:AG$39 + (C$39:AG$39=0)))*(C$39:AG$39&gt;0)), (C$28:AG$28&lt;&gt;"") * (F$8 / $F$4)), IF(F$9="Split Equally", F$8 / COUNTA($A$13:$A$22), IF(F$9="Split (Top 3)", IF(ROW()&lt;=15, F$8 / 3, 0), 0))), 0))</f>
        <v/>
      </c>
      <c r="G13" s="10">
        <f>IF(ISBLANK($A13), "", SUM(C13:F13))</f>
        <v/>
      </c>
    </row>
    <row r="14" ht="20" customHeight="1" s="29">
      <c r="A14" s="12" t="inlineStr">
        <is>
          <t>Jordan</t>
        </is>
      </c>
      <c r="B14" s="13">
        <f>B30</f>
        <v/>
      </c>
      <c r="C14" s="15">
        <f>IF(ISBLANK($A14), "", IFERROR(IF(C$9="By Days Present", SUMPRODUCT((C$39:AG$39=0) + C30:AG30*(C$39:AG$39&gt;0), C$40:AG$40), IF(C$9="Split Equally", C$8 / COUNTA($A$13:$A$22), IF(C$9="Split (Top 3)", IF(ROW()&lt;=15, C$8 / 3, 0), 0))), 0))</f>
        <v/>
      </c>
      <c r="D14" s="15">
        <f>IF(ISBLANK($A14), "", IFERROR(IF(D$9="By Days Present", SUMPRODUCT(((C$39:AG$39=0)/COUNTA($A$13:$A$22) + (C30:AG30/(C$39:AG$39 + (C$39:AG$39=0)))*(C$39:AG$39&gt;0)), (C$28:AG$28&lt;&gt;"") * (D$8 / $F$4)), IF(D$9="Split Equally", D$8 / COUNTA($A$13:$A$22), IF(D$9="Split (Top 3)", IF(ROW()&lt;=15, D$8 / 3, 0), 0))), 0))</f>
        <v/>
      </c>
      <c r="E14" s="15">
        <f>IF(ISBLANK($A14), "", IFERROR(IF(E$9="By Days Present", SUMPRODUCT(((C$39:AG$39=0)/COUNTA($A$13:$A$22) + (C30:AG30/(C$39:AG$39 + (C$39:AG$39=0)))*(C$39:AG$39&gt;0)), (C$28:AG$28&lt;&gt;"") * (E$8 / $F$4)), IF(E$9="Split Equally", E$8 / COUNTA($A$13:$A$22), IF(E$9="Split (Top 3)", IF(ROW()&lt;=15, E$8 / 3, 0), 0))), 0))</f>
        <v/>
      </c>
      <c r="F14" s="15">
        <f>IF(ISBLANK($A14), "", IFERROR(IF(F$9="By Days Present", SUMPRODUCT(((C$39:AG$39=0)/COUNTA($A$13:$A$22) + (C30:AG30/(C$39:AG$39 + (C$39:AG$39=0)))*(C$39:AG$39&gt;0)), (C$28:AG$28&lt;&gt;"") * (F$8 / $F$4)), IF(F$9="Split Equally", F$8 / COUNTA($A$13:$A$22), IF(F$9="Split (Top 3)", IF(ROW()&lt;=15, F$8 / 3, 0), 0))), 0))</f>
        <v/>
      </c>
      <c r="G14" s="10">
        <f>IF(ISBLANK($A14), "", SUM(C14:F14))</f>
        <v/>
      </c>
    </row>
    <row r="15" ht="20" customHeight="1" s="29">
      <c r="A15" s="12" t="inlineStr">
        <is>
          <t>Morgan</t>
        </is>
      </c>
      <c r="B15" s="13">
        <f>B31</f>
        <v/>
      </c>
      <c r="C15" s="14">
        <f>IF(ISBLANK($A15), "", IFERROR(IF(C$9="By Days Present", SUMPRODUCT((C$39:AG$39=0) + C31:AG31*(C$39:AG$39&gt;0), C$40:AG$40), IF(C$9="Split Equally", C$8 / COUNTA($A$13:$A$22), IF(C$9="Split (Top 3)", IF(ROW()&lt;=15, C$8 / 3, 0), 0))), 0))</f>
        <v/>
      </c>
      <c r="D15" s="14">
        <f>IF(ISBLANK($A15), "", IFERROR(IF(D$9="By Days Present", SUMPRODUCT(((C$39:AG$39=0)/COUNTA($A$13:$A$22) + (C31:AG31/(C$39:AG$39 + (C$39:AG$39=0)))*(C$39:AG$39&gt;0)), (C$28:AG$28&lt;&gt;"") * (D$8 / $F$4)), IF(D$9="Split Equally", D$8 / COUNTA($A$13:$A$22), IF(D$9="Split (Top 3)", IF(ROW()&lt;=15, D$8 / 3, 0), 0))), 0))</f>
        <v/>
      </c>
      <c r="E15" s="14">
        <f>IF(ISBLANK($A15), "", IFERROR(IF(E$9="By Days Present", SUMPRODUCT(((C$39:AG$39=0)/COUNTA($A$13:$A$22) + (C31:AG31/(C$39:AG$39 + (C$39:AG$39=0)))*(C$39:AG$39&gt;0)), (C$28:AG$28&lt;&gt;"") * (E$8 / $F$4)), IF(E$9="Split Equally", E$8 / COUNTA($A$13:$A$22), IF(E$9="Split (Top 3)", IF(ROW()&lt;=15, E$8 / 3, 0), 0))), 0))</f>
        <v/>
      </c>
      <c r="F15" s="14">
        <f>IF(ISBLANK($A15), "", IFERROR(IF(F$9="By Days Present", SUMPRODUCT(((C$39:AG$39=0)/COUNTA($A$13:$A$22) + (C31:AG31/(C$39:AG$39 + (C$39:AG$39=0)))*(C$39:AG$39&gt;0)), (C$28:AG$28&lt;&gt;"") * (F$8 / $F$4)), IF(F$9="Split Equally", F$8 / COUNTA($A$13:$A$22), IF(F$9="Split (Top 3)", IF(ROW()&lt;=15, F$8 / 3, 0), 0))), 0))</f>
        <v/>
      </c>
      <c r="G15" s="10">
        <f>IF(ISBLANK($A15), "", SUM(C15:F15))</f>
        <v/>
      </c>
    </row>
    <row r="16" ht="20" customHeight="1" s="29">
      <c r="A16" s="12" t="inlineStr">
        <is>
          <t>Taylor</t>
        </is>
      </c>
      <c r="B16" s="13">
        <f>B32</f>
        <v/>
      </c>
      <c r="C16" s="15">
        <f>IF(ISBLANK($A16), "", IFERROR(IF(C$9="By Days Present", SUMPRODUCT((C$39:AG$39=0) + C32:AG32*(C$39:AG$39&gt;0), C$40:AG$40), IF(C$9="Split Equally", C$8 / COUNTA($A$13:$A$22), IF(C$9="Split (Top 3)", IF(ROW()&lt;=15, C$8 / 3, 0), 0))), 0))</f>
        <v/>
      </c>
      <c r="D16" s="15">
        <f>IF(ISBLANK($A16), "", IFERROR(IF(D$9="By Days Present", SUMPRODUCT(((C$39:AG$39=0)/COUNTA($A$13:$A$22) + (C32:AG32/(C$39:AG$39 + (C$39:AG$39=0)))*(C$39:AG$39&gt;0)), (C$28:AG$28&lt;&gt;"") * (D$8 / $F$4)), IF(D$9="Split Equally", D$8 / COUNTA($A$13:$A$22), IF(D$9="Split (Top 3)", IF(ROW()&lt;=15, D$8 / 3, 0), 0))), 0))</f>
        <v/>
      </c>
      <c r="E16" s="15">
        <f>IF(ISBLANK($A16), "", IFERROR(IF(E$9="By Days Present", SUMPRODUCT(((C$39:AG$39=0)/COUNTA($A$13:$A$22) + (C32:AG32/(C$39:AG$39 + (C$39:AG$39=0)))*(C$39:AG$39&gt;0)), (C$28:AG$28&lt;&gt;"") * (E$8 / $F$4)), IF(E$9="Split Equally", E$8 / COUNTA($A$13:$A$22), IF(E$9="Split (Top 3)", IF(ROW()&lt;=15, E$8 / 3, 0), 0))), 0))</f>
        <v/>
      </c>
      <c r="F16" s="15">
        <f>IF(ISBLANK($A16), "", IFERROR(IF(F$9="By Days Present", SUMPRODUCT(((C$39:AG$39=0)/COUNTA($A$13:$A$22) + (C32:AG32/(C$39:AG$39 + (C$39:AG$39=0)))*(C$39:AG$39&gt;0)), (C$28:AG$28&lt;&gt;"") * (F$8 / $F$4)), IF(F$9="Split Equally", F$8 / COUNTA($A$13:$A$22), IF(F$9="Split (Top 3)", IF(ROW()&lt;=15, F$8 / 3, 0), 0))), 0))</f>
        <v/>
      </c>
      <c r="G16" s="10">
        <f>IF(ISBLANK($A16), "", SUM(C16:F16))</f>
        <v/>
      </c>
    </row>
    <row r="17" ht="20" customHeight="1" s="29">
      <c r="A17" s="12" t="n"/>
      <c r="B17" s="13">
        <f>B33</f>
        <v/>
      </c>
      <c r="C17" s="14">
        <f>IF(ISBLANK($A17), "", IFERROR(IF(C$9="By Days Present", SUMPRODUCT((C$39:AG$39=0) + C33:AG33*(C$39:AG$39&gt;0), C$40:AG$40), IF(C$9="Split Equally", C$8 / COUNTA($A$13:$A$22), IF(C$9="Split (Top 3)", IF(ROW()&lt;=15, C$8 / 3, 0), 0))), 0))</f>
        <v/>
      </c>
      <c r="D17" s="14">
        <f>IF(ISBLANK($A17), "", IFERROR(IF(D$9="By Days Present", SUMPRODUCT(((C$39:AG$39=0)/COUNTA($A$13:$A$22) + (C33:AG33/(C$39:AG$39 + (C$39:AG$39=0)))*(C$39:AG$39&gt;0)), (C$28:AG$28&lt;&gt;"") * (D$8 / $F$4)), IF(D$9="Split Equally", D$8 / COUNTA($A$13:$A$22), IF(D$9="Split (Top 3)", IF(ROW()&lt;=15, D$8 / 3, 0), 0))), 0))</f>
        <v/>
      </c>
      <c r="E17" s="14">
        <f>IF(ISBLANK($A17), "", IFERROR(IF(E$9="By Days Present", SUMPRODUCT(((C$39:AG$39=0)/COUNTA($A$13:$A$22) + (C33:AG33/(C$39:AG$39 + (C$39:AG$39=0)))*(C$39:AG$39&gt;0)), (C$28:AG$28&lt;&gt;"") * (E$8 / $F$4)), IF(E$9="Split Equally", E$8 / COUNTA($A$13:$A$22), IF(E$9="Split (Top 3)", IF(ROW()&lt;=15, E$8 / 3, 0), 0))), 0))</f>
        <v/>
      </c>
      <c r="F17" s="14">
        <f>IF(ISBLANK($A17), "", IFERROR(IF(F$9="By Days Present", SUMPRODUCT(((C$39:AG$39=0)/COUNTA($A$13:$A$22) + (C33:AG33/(C$39:AG$39 + (C$39:AG$39=0)))*(C$39:AG$39&gt;0)), (C$28:AG$28&lt;&gt;"") * (F$8 / $F$4)), IF(F$9="Split Equally", F$8 / COUNTA($A$13:$A$22), IF(F$9="Split (Top 3)", IF(ROW()&lt;=15, F$8 / 3, 0), 0))), 0))</f>
        <v/>
      </c>
      <c r="G17" s="10">
        <f>IF(ISBLANK($A17), "", SUM(C17:F17))</f>
        <v/>
      </c>
    </row>
    <row r="18" ht="20" customHeight="1" s="29">
      <c r="A18" s="12" t="n"/>
      <c r="B18" s="13">
        <f>B34</f>
        <v/>
      </c>
      <c r="C18" s="15">
        <f>IF(ISBLANK($A18), "", IFERROR(IF(C$9="By Days Present", SUMPRODUCT((C$39:AG$39=0) + C34:AG34*(C$39:AG$39&gt;0), C$40:AG$40), IF(C$9="Split Equally", C$8 / COUNTA($A$13:$A$22), IF(C$9="Split (Top 3)", IF(ROW()&lt;=15, C$8 / 3, 0), 0))), 0))</f>
        <v/>
      </c>
      <c r="D18" s="15">
        <f>IF(ISBLANK($A18), "", IFERROR(IF(D$9="By Days Present", SUMPRODUCT(((C$39:AG$39=0)/COUNTA($A$13:$A$22) + (C34:AG34/(C$39:AG$39 + (C$39:AG$39=0)))*(C$39:AG$39&gt;0)), (C$28:AG$28&lt;&gt;"") * (D$8 / $F$4)), IF(D$9="Split Equally", D$8 / COUNTA($A$13:$A$22), IF(D$9="Split (Top 3)", IF(ROW()&lt;=15, D$8 / 3, 0), 0))), 0))</f>
        <v/>
      </c>
      <c r="E18" s="15">
        <f>IF(ISBLANK($A18), "", IFERROR(IF(E$9="By Days Present", SUMPRODUCT(((C$39:AG$39=0)/COUNTA($A$13:$A$22) + (C34:AG34/(C$39:AG$39 + (C$39:AG$39=0)))*(C$39:AG$39&gt;0)), (C$28:AG$28&lt;&gt;"") * (E$8 / $F$4)), IF(E$9="Split Equally", E$8 / COUNTA($A$13:$A$22), IF(E$9="Split (Top 3)", IF(ROW()&lt;=15, E$8 / 3, 0), 0))), 0))</f>
        <v/>
      </c>
      <c r="F18" s="15">
        <f>IF(ISBLANK($A18), "", IFERROR(IF(F$9="By Days Present", SUMPRODUCT(((C$39:AG$39=0)/COUNTA($A$13:$A$22) + (C34:AG34/(C$39:AG$39 + (C$39:AG$39=0)))*(C$39:AG$39&gt;0)), (C$28:AG$28&lt;&gt;"") * (F$8 / $F$4)), IF(F$9="Split Equally", F$8 / COUNTA($A$13:$A$22), IF(F$9="Split (Top 3)", IF(ROW()&lt;=15, F$8 / 3, 0), 0))), 0))</f>
        <v/>
      </c>
      <c r="G18" s="10">
        <f>IF(ISBLANK($A18), "", SUM(C18:F18))</f>
        <v/>
      </c>
    </row>
    <row r="19" ht="20" customHeight="1" s="29">
      <c r="A19" s="12" t="n"/>
      <c r="B19" s="13">
        <f>B35</f>
        <v/>
      </c>
      <c r="C19" s="14">
        <f>IF(ISBLANK($A19), "", IFERROR(IF(C$9="By Days Present", SUMPRODUCT((C$39:AG$39=0) + C35:AG35*(C$39:AG$39&gt;0), C$40:AG$40), IF(C$9="Split Equally", C$8 / COUNTA($A$13:$A$22), IF(C$9="Split (Top 3)", IF(ROW()&lt;=15, C$8 / 3, 0), 0))), 0))</f>
        <v/>
      </c>
      <c r="D19" s="14">
        <f>IF(ISBLANK($A19), "", IFERROR(IF(D$9="By Days Present", SUMPRODUCT(((C$39:AG$39=0)/COUNTA($A$13:$A$22) + (C35:AG35/(C$39:AG$39 + (C$39:AG$39=0)))*(C$39:AG$39&gt;0)), (C$28:AG$28&lt;&gt;"") * (D$8 / $F$4)), IF(D$9="Split Equally", D$8 / COUNTA($A$13:$A$22), IF(D$9="Split (Top 3)", IF(ROW()&lt;=15, D$8 / 3, 0), 0))), 0))</f>
        <v/>
      </c>
      <c r="E19" s="14">
        <f>IF(ISBLANK($A19), "", IFERROR(IF(E$9="By Days Present", SUMPRODUCT(((C$39:AG$39=0)/COUNTA($A$13:$A$22) + (C35:AG35/(C$39:AG$39 + (C$39:AG$39=0)))*(C$39:AG$39&gt;0)), (C$28:AG$28&lt;&gt;"") * (E$8 / $F$4)), IF(E$9="Split Equally", E$8 / COUNTA($A$13:$A$22), IF(E$9="Split (Top 3)", IF(ROW()&lt;=15, E$8 / 3, 0), 0))), 0))</f>
        <v/>
      </c>
      <c r="F19" s="14">
        <f>IF(ISBLANK($A19), "", IFERROR(IF(F$9="By Days Present", SUMPRODUCT(((C$39:AG$39=0)/COUNTA($A$13:$A$22) + (C35:AG35/(C$39:AG$39 + (C$39:AG$39=0)))*(C$39:AG$39&gt;0)), (C$28:AG$28&lt;&gt;"") * (F$8 / $F$4)), IF(F$9="Split Equally", F$8 / COUNTA($A$13:$A$22), IF(F$9="Split (Top 3)", IF(ROW()&lt;=15, F$8 / 3, 0), 0))), 0))</f>
        <v/>
      </c>
      <c r="G19" s="10">
        <f>IF(ISBLANK($A19), "", SUM(C19:F19))</f>
        <v/>
      </c>
    </row>
    <row r="20" ht="20" customHeight="1" s="29">
      <c r="A20" s="12" t="n"/>
      <c r="B20" s="13">
        <f>B36</f>
        <v/>
      </c>
      <c r="C20" s="15">
        <f>IF(ISBLANK($A20), "", IFERROR(IF(C$9="By Days Present", SUMPRODUCT((C$39:AG$39=0) + C36:AG36*(C$39:AG$39&gt;0), C$40:AG$40), IF(C$9="Split Equally", C$8 / COUNTA($A$13:$A$22), IF(C$9="Split (Top 3)", IF(ROW()&lt;=15, C$8 / 3, 0), 0))), 0))</f>
        <v/>
      </c>
      <c r="D20" s="15">
        <f>IF(ISBLANK($A20), "", IFERROR(IF(D$9="By Days Present", SUMPRODUCT(((C$39:AG$39=0)/COUNTA($A$13:$A$22) + (C36:AG36/(C$39:AG$39 + (C$39:AG$39=0)))*(C$39:AG$39&gt;0)), (C$28:AG$28&lt;&gt;"") * (D$8 / $F$4)), IF(D$9="Split Equally", D$8 / COUNTA($A$13:$A$22), IF(D$9="Split (Top 3)", IF(ROW()&lt;=15, D$8 / 3, 0), 0))), 0))</f>
        <v/>
      </c>
      <c r="E20" s="15">
        <f>IF(ISBLANK($A20), "", IFERROR(IF(E$9="By Days Present", SUMPRODUCT(((C$39:AG$39=0)/COUNTA($A$13:$A$22) + (C36:AG36/(C$39:AG$39 + (C$39:AG$39=0)))*(C$39:AG$39&gt;0)), (C$28:AG$28&lt;&gt;"") * (E$8 / $F$4)), IF(E$9="Split Equally", E$8 / COUNTA($A$13:$A$22), IF(E$9="Split (Top 3)", IF(ROW()&lt;=15, E$8 / 3, 0), 0))), 0))</f>
        <v/>
      </c>
      <c r="F20" s="15">
        <f>IF(ISBLANK($A20), "", IFERROR(IF(F$9="By Days Present", SUMPRODUCT(((C$39:AG$39=0)/COUNTA($A$13:$A$22) + (C36:AG36/(C$39:AG$39 + (C$39:AG$39=0)))*(C$39:AG$39&gt;0)), (C$28:AG$28&lt;&gt;"") * (F$8 / $F$4)), IF(F$9="Split Equally", F$8 / COUNTA($A$13:$A$22), IF(F$9="Split (Top 3)", IF(ROW()&lt;=15, F$8 / 3, 0), 0))), 0))</f>
        <v/>
      </c>
      <c r="G20" s="10">
        <f>IF(ISBLANK($A20), "", SUM(C20:F20))</f>
        <v/>
      </c>
    </row>
    <row r="21" ht="20" customHeight="1" s="29">
      <c r="A21" s="12" t="n"/>
      <c r="B21" s="13">
        <f>B37</f>
        <v/>
      </c>
      <c r="C21" s="14">
        <f>IF(ISBLANK($A21), "", IFERROR(IF(C$9="By Days Present", SUMPRODUCT((C$39:AG$39=0) + C37:AG37*(C$39:AG$39&gt;0), C$40:AG$40), IF(C$9="Split Equally", C$8 / COUNTA($A$13:$A$22), IF(C$9="Split (Top 3)", IF(ROW()&lt;=15, C$8 / 3, 0), 0))), 0))</f>
        <v/>
      </c>
      <c r="D21" s="14">
        <f>IF(ISBLANK($A21), "", IFERROR(IF(D$9="By Days Present", SUMPRODUCT(((C$39:AG$39=0)/COUNTA($A$13:$A$22) + (C37:AG37/(C$39:AG$39 + (C$39:AG$39=0)))*(C$39:AG$39&gt;0)), (C$28:AG$28&lt;&gt;"") * (D$8 / $F$4)), IF(D$9="Split Equally", D$8 / COUNTA($A$13:$A$22), IF(D$9="Split (Top 3)", IF(ROW()&lt;=15, D$8 / 3, 0), 0))), 0))</f>
        <v/>
      </c>
      <c r="E21" s="14">
        <f>IF(ISBLANK($A21), "", IFERROR(IF(E$9="By Days Present", SUMPRODUCT(((C$39:AG$39=0)/COUNTA($A$13:$A$22) + (C37:AG37/(C$39:AG$39 + (C$39:AG$39=0)))*(C$39:AG$39&gt;0)), (C$28:AG$28&lt;&gt;"") * (E$8 / $F$4)), IF(E$9="Split Equally", E$8 / COUNTA($A$13:$A$22), IF(E$9="Split (Top 3)", IF(ROW()&lt;=15, E$8 / 3, 0), 0))), 0))</f>
        <v/>
      </c>
      <c r="F21" s="14">
        <f>IF(ISBLANK($A21), "", IFERROR(IF(F$9="By Days Present", SUMPRODUCT(((C$39:AG$39=0)/COUNTA($A$13:$A$22) + (C37:AG37/(C$39:AG$39 + (C$39:AG$39=0)))*(C$39:AG$39&gt;0)), (C$28:AG$28&lt;&gt;"") * (F$8 / $F$4)), IF(F$9="Split Equally", F$8 / COUNTA($A$13:$A$22), IF(F$9="Split (Top 3)", IF(ROW()&lt;=15, F$8 / 3, 0), 0))), 0))</f>
        <v/>
      </c>
      <c r="G21" s="10">
        <f>IF(ISBLANK($A21), "", SUM(C21:F21))</f>
        <v/>
      </c>
    </row>
    <row r="22" ht="20" customHeight="1" s="29">
      <c r="A22" s="12" t="n"/>
      <c r="B22" s="13">
        <f>B38</f>
        <v/>
      </c>
      <c r="C22" s="15">
        <f>IF(ISBLANK($A22), "", IFERROR(IF(C$9="By Days Present", SUMPRODUCT((C$39:AG$39=0) + C38:AG38*(C$39:AG$39&gt;0), C$40:AG$40), IF(C$9="Split Equally", C$8 / COUNTA($A$13:$A$22), IF(C$9="Split (Top 3)", IF(ROW()&lt;=15, C$8 / 3, 0), 0))), 0))</f>
        <v/>
      </c>
      <c r="D22" s="15">
        <f>IF(ISBLANK($A22), "", IFERROR(IF(D$9="By Days Present", SUMPRODUCT(((C$39:AG$39=0)/COUNTA($A$13:$A$22) + (C38:AG38/(C$39:AG$39 + (C$39:AG$39=0)))*(C$39:AG$39&gt;0)), (C$28:AG$28&lt;&gt;"") * (D$8 / $F$4)), IF(D$9="Split Equally", D$8 / COUNTA($A$13:$A$22), IF(D$9="Split (Top 3)", IF(ROW()&lt;=15, D$8 / 3, 0), 0))), 0))</f>
        <v/>
      </c>
      <c r="E22" s="15">
        <f>IF(ISBLANK($A22), "", IFERROR(IF(E$9="By Days Present", SUMPRODUCT(((C$39:AG$39=0)/COUNTA($A$13:$A$22) + (C38:AG38/(C$39:AG$39 + (C$39:AG$39=0)))*(C$39:AG$39&gt;0)), (C$28:AG$28&lt;&gt;"") * (E$8 / $F$4)), IF(E$9="Split Equally", E$8 / COUNTA($A$13:$A$22), IF(E$9="Split (Top 3)", IF(ROW()&lt;=15, E$8 / 3, 0), 0))), 0))</f>
        <v/>
      </c>
      <c r="F22" s="15">
        <f>IF(ISBLANK($A22), "", IFERROR(IF(F$9="By Days Present", SUMPRODUCT(((C$39:AG$39=0)/COUNTA($A$13:$A$22) + (C38:AG38/(C$39:AG$39 + (C$39:AG$39=0)))*(C$39:AG$39&gt;0)), (C$28:AG$28&lt;&gt;"") * (F$8 / $F$4)), IF(F$9="Split Equally", F$8 / COUNTA($A$13:$A$22), IF(F$9="Split (Top 3)", IF(ROW()&lt;=15, F$8 / 3, 0), 0))), 0))</f>
        <v/>
      </c>
      <c r="G22" s="10">
        <f>IF(ISBLANK($A22), "", SUM(C22:F22))</f>
        <v/>
      </c>
    </row>
    <row r="23" ht="22" customHeight="1" s="29">
      <c r="A23" s="16" t="inlineStr">
        <is>
          <t>Total Allocated Share</t>
        </is>
      </c>
      <c r="B23" s="17">
        <f>SUM(B13:B22)</f>
        <v/>
      </c>
      <c r="C23" s="18">
        <f>SUM(C13:C22)</f>
        <v/>
      </c>
      <c r="D23" s="18">
        <f>SUM(D13:D22)</f>
        <v/>
      </c>
      <c r="E23" s="18">
        <f>SUM(E13:E22)</f>
        <v/>
      </c>
      <c r="F23" s="18">
        <f>SUM(F13:F22)</f>
        <v/>
      </c>
      <c r="G23" s="18">
        <f>SUM(G13:G22)</f>
        <v/>
      </c>
    </row>
    <row r="24" ht="22" customHeight="1" s="29">
      <c r="A24" s="8" t="inlineStr">
        <is>
          <t>Actual Total Bill Amount</t>
        </is>
      </c>
      <c r="B24" s="11" t="n"/>
      <c r="C24" s="14">
        <f>C8</f>
        <v/>
      </c>
      <c r="D24" s="14">
        <f>D8</f>
        <v/>
      </c>
      <c r="E24" s="14">
        <f>E8</f>
        <v/>
      </c>
      <c r="F24" s="14">
        <f>F8</f>
        <v/>
      </c>
      <c r="G24" s="19">
        <f>G8</f>
        <v/>
      </c>
    </row>
    <row r="25" ht="22" customHeight="1" s="29">
      <c r="A25" s="8" t="inlineStr">
        <is>
          <t>Reconciliation Status</t>
        </is>
      </c>
      <c r="B25" s="11" t="n"/>
      <c r="C25" s="20">
        <f>IF(ABS(C23-C24)&lt;0.01, "✔ Balanced", "❌ Unbalanced")</f>
        <v/>
      </c>
      <c r="D25" s="20">
        <f>IF(ABS(D23-D24)&lt;0.01, "✔ Balanced", "❌ Unbalanced")</f>
        <v/>
      </c>
      <c r="E25" s="20">
        <f>IF(ABS(E23-E24)&lt;0.01, "✔ Balanced", "❌ Unbalanced")</f>
        <v/>
      </c>
      <c r="F25" s="20">
        <f>IF(ABS(F23-F24)&lt;0.01, "✔ Balanced", "❌ Unbalanced")</f>
        <v/>
      </c>
      <c r="G25" s="20">
        <f>IF(ABS(G23-G24)&lt;0.01, "✔ Balanced", "❌ Unbalanced")</f>
        <v/>
      </c>
    </row>
    <row r="27" ht="24" customHeight="1" s="29">
      <c r="A27" s="31" t="inlineStr">
        <is>
          <t>3. DAILY OCCUPANCY TRACKER (Simply enter '1' for each day an occupant is present; leave blank or enter '0' if absent)</t>
        </is>
      </c>
    </row>
    <row r="28" ht="25" customHeight="1" s="29">
      <c r="A28" s="4" t="inlineStr">
        <is>
          <t>Occupant Name</t>
        </is>
      </c>
      <c r="B28" s="6" t="inlineStr">
        <is>
          <t>Total Days</t>
        </is>
      </c>
      <c r="C28" s="21">
        <f>IF(OR($B$4="", ISBLANK($B$4)), "", IF(ISNUMBER($B$4), $B$4, DATEVALUE($B$4)))</f>
        <v/>
      </c>
      <c r="D28" s="21">
        <f>IF(C28="", "", IF(C28+1 &lt;= IF(ISNUMBER($D$4), $D$4, DATEVALUE($D$4)), C28+1, ""))</f>
        <v/>
      </c>
      <c r="E28" s="21">
        <f>IF(D28="", "", IF(D28+1 &lt;= IF(ISNUMBER($D$4), $D$4, DATEVALUE($D$4)), D28+1, ""))</f>
        <v/>
      </c>
      <c r="F28" s="21">
        <f>IF(E28="", "", IF(E28+1 &lt;= IF(ISNUMBER($D$4), $D$4, DATEVALUE($D$4)), E28+1, ""))</f>
        <v/>
      </c>
      <c r="G28" s="21">
        <f>IF(F28="", "", IF(F28+1 &lt;= IF(ISNUMBER($D$4), $D$4, DATEVALUE($D$4)), F28+1, ""))</f>
        <v/>
      </c>
      <c r="H28" s="21">
        <f>IF(G28="", "", IF(G28+1 &lt;= IF(ISNUMBER($D$4), $D$4, DATEVALUE($D$4)), G28+1, ""))</f>
        <v/>
      </c>
      <c r="I28" s="21">
        <f>IF(H28="", "", IF(H28+1 &lt;= IF(ISNUMBER($D$4), $D$4, DATEVALUE($D$4)), H28+1, ""))</f>
        <v/>
      </c>
      <c r="J28" s="21">
        <f>IF(I28="", "", IF(I28+1 &lt;= IF(ISNUMBER($D$4), $D$4, DATEVALUE($D$4)), I28+1, ""))</f>
        <v/>
      </c>
      <c r="K28" s="21">
        <f>IF(J28="", "", IF(J28+1 &lt;= IF(ISNUMBER($D$4), $D$4, DATEVALUE($D$4)), J28+1, ""))</f>
        <v/>
      </c>
      <c r="L28" s="21">
        <f>IF(K28="", "", IF(K28+1 &lt;= IF(ISNUMBER($D$4), $D$4, DATEVALUE($D$4)), K28+1, ""))</f>
        <v/>
      </c>
      <c r="M28" s="21">
        <f>IF(L28="", "", IF(L28+1 &lt;= IF(ISNUMBER($D$4), $D$4, DATEVALUE($D$4)), L28+1, ""))</f>
        <v/>
      </c>
      <c r="N28" s="21">
        <f>IF(M28="", "", IF(M28+1 &lt;= IF(ISNUMBER($D$4), $D$4, DATEVALUE($D$4)), M28+1, ""))</f>
        <v/>
      </c>
      <c r="O28" s="21">
        <f>IF(N28="", "", IF(N28+1 &lt;= IF(ISNUMBER($D$4), $D$4, DATEVALUE($D$4)), N28+1, ""))</f>
        <v/>
      </c>
      <c r="P28" s="21">
        <f>IF(O28="", "", IF(O28+1 &lt;= IF(ISNUMBER($D$4), $D$4, DATEVALUE($D$4)), O28+1, ""))</f>
        <v/>
      </c>
      <c r="Q28" s="21">
        <f>IF(P28="", "", IF(P28+1 &lt;= IF(ISNUMBER($D$4), $D$4, DATEVALUE($D$4)), P28+1, ""))</f>
        <v/>
      </c>
      <c r="R28" s="21">
        <f>IF(Q28="", "", IF(Q28+1 &lt;= IF(ISNUMBER($D$4), $D$4, DATEVALUE($D$4)), Q28+1, ""))</f>
        <v/>
      </c>
      <c r="S28" s="21">
        <f>IF(R28="", "", IF(R28+1 &lt;= IF(ISNUMBER($D$4), $D$4, DATEVALUE($D$4)), R28+1, ""))</f>
        <v/>
      </c>
      <c r="T28" s="21">
        <f>IF(S28="", "", IF(S28+1 &lt;= IF(ISNUMBER($D$4), $D$4, DATEVALUE($D$4)), S28+1, ""))</f>
        <v/>
      </c>
      <c r="U28" s="21">
        <f>IF(T28="", "", IF(T28+1 &lt;= IF(ISNUMBER($D$4), $D$4, DATEVALUE($D$4)), T28+1, ""))</f>
        <v/>
      </c>
      <c r="V28" s="21">
        <f>IF(U28="", "", IF(U28+1 &lt;= IF(ISNUMBER($D$4), $D$4, DATEVALUE($D$4)), U28+1, ""))</f>
        <v/>
      </c>
      <c r="W28" s="21">
        <f>IF(V28="", "", IF(V28+1 &lt;= IF(ISNUMBER($D$4), $D$4, DATEVALUE($D$4)), V28+1, ""))</f>
        <v/>
      </c>
      <c r="X28" s="21">
        <f>IF(W28="", "", IF(W28+1 &lt;= IF(ISNUMBER($D$4), $D$4, DATEVALUE($D$4)), W28+1, ""))</f>
        <v/>
      </c>
      <c r="Y28" s="21">
        <f>IF(X28="", "", IF(X28+1 &lt;= IF(ISNUMBER($D$4), $D$4, DATEVALUE($D$4)), X28+1, ""))</f>
        <v/>
      </c>
      <c r="Z28" s="21">
        <f>IF(Y28="", "", IF(Y28+1 &lt;= IF(ISNUMBER($D$4), $D$4, DATEVALUE($D$4)), Y28+1, ""))</f>
        <v/>
      </c>
      <c r="AA28" s="21">
        <f>IF(Z28="", "", IF(Z28+1 &lt;= IF(ISNUMBER($D$4), $D$4, DATEVALUE($D$4)), Z28+1, ""))</f>
        <v/>
      </c>
      <c r="AB28" s="21">
        <f>IF(AA28="", "", IF(AA28+1 &lt;= IF(ISNUMBER($D$4), $D$4, DATEVALUE($D$4)), AA28+1, ""))</f>
        <v/>
      </c>
      <c r="AC28" s="21">
        <f>IF(AB28="", "", IF(AB28+1 &lt;= IF(ISNUMBER($D$4), $D$4, DATEVALUE($D$4)), AB28+1, ""))</f>
        <v/>
      </c>
      <c r="AD28" s="21">
        <f>IF(AC28="", "", IF(AC28+1 &lt;= IF(ISNUMBER($D$4), $D$4, DATEVALUE($D$4)), AC28+1, ""))</f>
        <v/>
      </c>
      <c r="AE28" s="21">
        <f>IF(AD28="", "", IF(AD28+1 &lt;= IF(ISNUMBER($D$4), $D$4, DATEVALUE($D$4)), AD28+1, ""))</f>
        <v/>
      </c>
      <c r="AF28" s="21">
        <f>IF(AE28="", "", IF(AE28+1 &lt;= IF(ISNUMBER($D$4), $D$4, DATEVALUE($D$4)), AE28+1, ""))</f>
        <v/>
      </c>
      <c r="AG28" s="21">
        <f>IF(AF28="", "", IF(AF28+1 &lt;= IF(ISNUMBER($D$4), $D$4, DATEVALUE($D$4)), AF28+1, ""))</f>
        <v/>
      </c>
      <c r="AH28" s="21">
        <f>IF(AG28="","",IF(AG28+1&lt;=$D$4,AG28+1,""))</f>
        <v/>
      </c>
    </row>
    <row r="29" ht="20" customHeight="1" s="29">
      <c r="A29" s="22">
        <f>A13</f>
        <v/>
      </c>
      <c r="B29" s="23">
        <f>SUMIF(C$28:AG$28, "&lt;&gt;", C29:AG29)</f>
        <v/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 ht="20" customHeight="1" s="29">
      <c r="A30" s="22">
        <f>A14</f>
        <v/>
      </c>
      <c r="B30" s="23">
        <f>SUMIF(C$28:AG$28, "&lt;&gt;", C30:AG30)</f>
        <v/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</row>
    <row r="31" ht="20" customHeight="1" s="29">
      <c r="A31" s="22">
        <f>A15</f>
        <v/>
      </c>
      <c r="B31" s="23">
        <f>SUMIF(C$28:AG$28, "&lt;&gt;", C31:AG31)</f>
        <v/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 ht="20" customHeight="1" s="29">
      <c r="A32" s="22">
        <f>A16</f>
        <v/>
      </c>
      <c r="B32" s="23">
        <f>SUMIF(C$28:AG$28, "&lt;&gt;", C32:AG32)</f>
        <v/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</row>
    <row r="33" ht="20" customHeight="1" s="29">
      <c r="A33" s="22">
        <f>A17</f>
        <v/>
      </c>
      <c r="B33" s="23">
        <f>SUMIF(C$28:AG$28, "&lt;&gt;", C33:AG33)</f>
        <v/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</row>
    <row r="34" ht="20" customHeight="1" s="29">
      <c r="A34" s="22">
        <f>A18</f>
        <v/>
      </c>
      <c r="B34" s="23">
        <f>SUMIF(C$28:AG$28, "&lt;&gt;", C34:AG34)</f>
        <v/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 ht="20" customHeight="1" s="29">
      <c r="A35" s="22">
        <f>A19</f>
        <v/>
      </c>
      <c r="B35" s="23">
        <f>SUMIF(C$28:AG$28, "&lt;&gt;", C35:AG35)</f>
        <v/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 ht="20" customHeight="1" s="29">
      <c r="A36" s="22">
        <f>A20</f>
        <v/>
      </c>
      <c r="B36" s="23">
        <f>SUMIF(C$28:AG$28, "&lt;&gt;", C36:AG36)</f>
        <v/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 ht="20" customHeight="1" s="29">
      <c r="A37" s="22">
        <f>A21</f>
        <v/>
      </c>
      <c r="B37" s="23">
        <f>SUMIF(C$28:AG$28, "&lt;&gt;", C37:AG37)</f>
        <v/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 ht="20" customHeight="1" s="29">
      <c r="A38" s="22">
        <f>A22</f>
        <v/>
      </c>
      <c r="B38" s="23">
        <f>SUMIF(C$28:AG$28, "&lt;&gt;", C38:AG38)</f>
        <v/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 ht="22" customHeight="1" s="29">
      <c r="A39" s="8" t="inlineStr">
        <is>
          <t>Total Present</t>
        </is>
      </c>
      <c r="B39" s="24">
        <f>SUM(B29:B38)</f>
        <v/>
      </c>
      <c r="C39" s="25">
        <f>IF(C$28="","",SUM(C29:C38))</f>
        <v/>
      </c>
      <c r="D39" s="25">
        <f>IF(D$28="","",SUM(D29:D38))</f>
        <v/>
      </c>
      <c r="E39" s="25">
        <f>IF(E$28="","",SUM(E29:E38))</f>
        <v/>
      </c>
      <c r="F39" s="25">
        <f>IF(F$28="","",SUM(F29:F38))</f>
        <v/>
      </c>
      <c r="G39" s="25">
        <f>IF(G$28="","",SUM(G29:G38))</f>
        <v/>
      </c>
      <c r="H39" s="25">
        <f>IF(H$28="","",SUM(H29:H38))</f>
        <v/>
      </c>
      <c r="I39" s="25">
        <f>IF(I$28="","",SUM(I29:I38))</f>
        <v/>
      </c>
      <c r="J39" s="25">
        <f>IF(J$28="","",SUM(J29:J38))</f>
        <v/>
      </c>
      <c r="K39" s="25">
        <f>IF(K$28="","",SUM(K29:K38))</f>
        <v/>
      </c>
      <c r="L39" s="25">
        <f>IF(L$28="","",SUM(L29:L38))</f>
        <v/>
      </c>
      <c r="M39" s="25">
        <f>IF(M$28="","",SUM(M29:M38))</f>
        <v/>
      </c>
      <c r="N39" s="25">
        <f>IF(N$28="","",SUM(N29:N38))</f>
        <v/>
      </c>
      <c r="O39" s="25">
        <f>IF(O$28="","",SUM(O29:O38))</f>
        <v/>
      </c>
      <c r="P39" s="25">
        <f>IF(P$28="","",SUM(P29:P38))</f>
        <v/>
      </c>
      <c r="Q39" s="25">
        <f>IF(Q$28="","",SUM(Q29:Q38))</f>
        <v/>
      </c>
      <c r="R39" s="25">
        <f>IF(R$28="","",SUM(R29:R38))</f>
        <v/>
      </c>
      <c r="S39" s="25">
        <f>IF(S$28="","",SUM(S29:S38))</f>
        <v/>
      </c>
      <c r="T39" s="25">
        <f>IF(T$28="","",SUM(T29:T38))</f>
        <v/>
      </c>
      <c r="U39" s="25">
        <f>IF(U$28="","",SUM(U29:U38))</f>
        <v/>
      </c>
      <c r="V39" s="25">
        <f>IF(V$28="","",SUM(V29:V38))</f>
        <v/>
      </c>
      <c r="W39" s="25">
        <f>IF(W$28="","",SUM(W29:W38))</f>
        <v/>
      </c>
      <c r="X39" s="25">
        <f>IF(X$28="","",SUM(X29:X38))</f>
        <v/>
      </c>
      <c r="Y39" s="25">
        <f>IF(Y$28="","",SUM(Y29:Y38))</f>
        <v/>
      </c>
      <c r="Z39" s="25">
        <f>IF(Z$28="","",SUM(Z29:Z38))</f>
        <v/>
      </c>
      <c r="AA39" s="25">
        <f>IF(AA$28="","",SUM(AA29:AA38))</f>
        <v/>
      </c>
      <c r="AB39" s="25">
        <f>IF(AB$28="","",SUM(AB29:AB38))</f>
        <v/>
      </c>
      <c r="AC39" s="25">
        <f>IF(AC$28="","",SUM(AC29:AC38))</f>
        <v/>
      </c>
      <c r="AD39" s="25">
        <f>IF(AD$28="","",SUM(AD29:AD38))</f>
        <v/>
      </c>
      <c r="AE39" s="25">
        <f>IF(AE$28="","",SUM(AE29:AE38))</f>
        <v/>
      </c>
      <c r="AF39" s="25">
        <f>IF(AF$28="","",SUM(AF29:AF38))</f>
        <v/>
      </c>
      <c r="AG39" s="25">
        <f>IF(AG$28="","",SUM(AG29:AG38))</f>
        <v/>
      </c>
    </row>
    <row r="40" ht="22" customHeight="1" s="29">
      <c r="A40" s="8" t="inlineStr">
        <is>
          <t>PUB Cost per Person/Day</t>
        </is>
      </c>
      <c r="B40" s="26">
        <f>SUM(C40:AG40)</f>
        <v/>
      </c>
      <c r="C40" s="14">
        <f>IF(C$28="", "", IF(C39&gt;0, (C$8 / $F$4) / C39, (C$8 / $F$4) / COUNTA($A$13:$A$22)))</f>
        <v/>
      </c>
      <c r="D40" s="14">
        <f>IF(D$28="", "", IF(D39&gt;0, (C$8 / $F$4) / D39, (C$8 / $F$4) / COUNTA($A$13:$A$22)))</f>
        <v/>
      </c>
      <c r="E40" s="14">
        <f>IF(E$28="", "", IF(E39&gt;0, (C$8 / $F$4) / E39, (C$8 / $F$4) / COUNTA($A$13:$A$22)))</f>
        <v/>
      </c>
      <c r="F40" s="14">
        <f>IF(F$28="", "", IF(F39&gt;0, (C$8 / $F$4) / F39, (C$8 / $F$4) / COUNTA($A$13:$A$22)))</f>
        <v/>
      </c>
      <c r="G40" s="14">
        <f>IF(G$28="", "", IF(G39&gt;0, (C$8 / $F$4) / G39, (C$8 / $F$4) / COUNTA($A$13:$A$22)))</f>
        <v/>
      </c>
      <c r="H40" s="14">
        <f>IF(H$28="", "", IF(H39&gt;0, (C$8 / $F$4) / H39, (C$8 / $F$4) / COUNTA($A$13:$A$22)))</f>
        <v/>
      </c>
      <c r="I40" s="14">
        <f>IF(I$28="", "", IF(I39&gt;0, (C$8 / $F$4) / I39, (C$8 / $F$4) / COUNTA($A$13:$A$22)))</f>
        <v/>
      </c>
      <c r="J40" s="14">
        <f>IF(J$28="", "", IF(J39&gt;0, (C$8 / $F$4) / J39, (C$8 / $F$4) / COUNTA($A$13:$A$22)))</f>
        <v/>
      </c>
      <c r="K40" s="14">
        <f>IF(K$28="", "", IF(K39&gt;0, (C$8 / $F$4) / K39, (C$8 / $F$4) / COUNTA($A$13:$A$22)))</f>
        <v/>
      </c>
      <c r="L40" s="14">
        <f>IF(L$28="", "", IF(L39&gt;0, (C$8 / $F$4) / L39, (C$8 / $F$4) / COUNTA($A$13:$A$22)))</f>
        <v/>
      </c>
      <c r="M40" s="14">
        <f>IF(M$28="", "", IF(M39&gt;0, (C$8 / $F$4) / M39, (C$8 / $F$4) / COUNTA($A$13:$A$22)))</f>
        <v/>
      </c>
      <c r="N40" s="14">
        <f>IF(N$28="", "", IF(N39&gt;0, (C$8 / $F$4) / N39, (C$8 / $F$4) / COUNTA($A$13:$A$22)))</f>
        <v/>
      </c>
      <c r="O40" s="14">
        <f>IF(O$28="", "", IF(O39&gt;0, (C$8 / $F$4) / O39, (C$8 / $F$4) / COUNTA($A$13:$A$22)))</f>
        <v/>
      </c>
      <c r="P40" s="14">
        <f>IF(P$28="", "", IF(P39&gt;0, (C$8 / $F$4) / P39, (C$8 / $F$4) / COUNTA($A$13:$A$22)))</f>
        <v/>
      </c>
      <c r="Q40" s="14">
        <f>IF(Q$28="", "", IF(Q39&gt;0, (C$8 / $F$4) / Q39, (C$8 / $F$4) / COUNTA($A$13:$A$22)))</f>
        <v/>
      </c>
      <c r="R40" s="14">
        <f>IF(R$28="", "", IF(R39&gt;0, (C$8 / $F$4) / R39, (C$8 / $F$4) / COUNTA($A$13:$A$22)))</f>
        <v/>
      </c>
      <c r="S40" s="14">
        <f>IF(S$28="", "", IF(S39&gt;0, (C$8 / $F$4) / S39, (C$8 / $F$4) / COUNTA($A$13:$A$22)))</f>
        <v/>
      </c>
      <c r="T40" s="14">
        <f>IF(T$28="", "", IF(T39&gt;0, (C$8 / $F$4) / T39, (C$8 / $F$4) / COUNTA($A$13:$A$22)))</f>
        <v/>
      </c>
      <c r="U40" s="14">
        <f>IF(U$28="", "", IF(U39&gt;0, (C$8 / $F$4) / U39, (C$8 / $F$4) / COUNTA($A$13:$A$22)))</f>
        <v/>
      </c>
      <c r="V40" s="14">
        <f>IF(V$28="", "", IF(V39&gt;0, (C$8 / $F$4) / V39, (C$8 / $F$4) / COUNTA($A$13:$A$22)))</f>
        <v/>
      </c>
      <c r="W40" s="14">
        <f>IF(W$28="", "", IF(W39&gt;0, (C$8 / $F$4) / W39, (C$8 / $F$4) / COUNTA($A$13:$A$22)))</f>
        <v/>
      </c>
      <c r="X40" s="14">
        <f>IF(X$28="", "", IF(X39&gt;0, (C$8 / $F$4) / X39, (C$8 / $F$4) / COUNTA($A$13:$A$22)))</f>
        <v/>
      </c>
      <c r="Y40" s="14">
        <f>IF(Y$28="", "", IF(Y39&gt;0, (C$8 / $F$4) / Y39, (C$8 / $F$4) / COUNTA($A$13:$A$22)))</f>
        <v/>
      </c>
      <c r="Z40" s="14">
        <f>IF(Z$28="", "", IF(Z39&gt;0, (C$8 / $F$4) / Z39, (C$8 / $F$4) / COUNTA($A$13:$A$22)))</f>
        <v/>
      </c>
      <c r="AA40" s="14">
        <f>IF(AA$28="", "", IF(AA39&gt;0, (C$8 / $F$4) / AA39, (C$8 / $F$4) / COUNTA($A$13:$A$22)))</f>
        <v/>
      </c>
      <c r="AB40" s="14">
        <f>IF(AB$28="", "", IF(AB39&gt;0, (C$8 / $F$4) / AB39, (C$8 / $F$4) / COUNTA($A$13:$A$22)))</f>
        <v/>
      </c>
      <c r="AC40" s="14">
        <f>IF(AC$28="", "", IF(AC39&gt;0, (C$8 / $F$4) / AC39, (C$8 / $F$4) / COUNTA($A$13:$A$22)))</f>
        <v/>
      </c>
      <c r="AD40" s="14">
        <f>IF(AD$28="", "", IF(AD39&gt;0, (C$8 / $F$4) / AD39, (C$8 / $F$4) / COUNTA($A$13:$A$22)))</f>
        <v/>
      </c>
      <c r="AE40" s="14">
        <f>IF(AE$28="", "", IF(AE39&gt;0, (C$8 / $F$4) / AE39, (C$8 / $F$4) / COUNTA($A$13:$A$22)))</f>
        <v/>
      </c>
      <c r="AF40" s="14">
        <f>IF(AF$28="", "", IF(AF39&gt;0, (C$8 / $F$4) / AF39, (C$8 / $F$4) / COUNTA($A$13:$A$22)))</f>
        <v/>
      </c>
      <c r="AG40" s="14">
        <f>IF(AG$28="", "", IF(AG39&gt;0, (C$8 / $F$4) / AG39, (C$8 / $F$4) / COUNTA($A$13:$A$22)))</f>
        <v/>
      </c>
    </row>
    <row r="42" ht="16" customHeight="1" s="29">
      <c r="A42" s="34" t="inlineStr">
        <is>
          <t>HOW TO USE THIS SHEET:</t>
        </is>
      </c>
    </row>
    <row r="43" ht="18" customHeight="1" s="29">
      <c r="A43" s="28" t="inlineStr">
        <is>
          <t>1. Enter Billing Start/End Dates in B4/D4. The billing days calculate automatically.</t>
        </is>
      </c>
    </row>
    <row r="44" ht="18" customHeight="1" s="29">
      <c r="A44" s="28" t="inlineStr">
        <is>
          <t>2. Rename any of the utility headers (C7:F7) as needed (e.g., replace 'Custom 1' with 'Netflix' or 'Gas').</t>
        </is>
      </c>
    </row>
    <row r="45" ht="18" customHeight="1" s="29">
      <c r="A45" s="28" t="inlineStr">
        <is>
          <t>3. Enter the total bill for each utility in the green boxes (C8:F8).</t>
        </is>
      </c>
    </row>
    <row r="46" ht="18" customHeight="1" s="29">
      <c r="A46" s="28" t="inlineStr">
        <is>
          <t>4. Choose split methods in green boxes (C9:F9) - choose 'By Days Present' for variable bills (like PUB), 'Split Equally' for flat bills, or 'Split (Top 3)' to split equally among the first 3 occupants only.</t>
        </is>
      </c>
    </row>
    <row r="47" ht="18" customHeight="1" s="29">
      <c r="A47" s="28" t="inlineStr">
        <is>
          <t>5. Enter occupant names in green boxes A13:A22. They will mirror automatically in the daily tracker.</t>
        </is>
      </c>
    </row>
    <row r="48" ht="18" customHeight="1" s="29">
      <c r="A48" s="28" t="inlineStr">
        <is>
          <t>6. In Section 3 (Daily Occupancy Tracker), enter '1' in the green day columns for each day an occupant is present. Leave blank or enter '0' if they are away.</t>
        </is>
      </c>
    </row>
    <row r="49" ht="18" customHeight="1" s="29">
      <c r="A49" s="28" t="inlineStr">
        <is>
          <t>7. Note: The Day columns in Section 3 link to dates in B4/D4. Changing dates will automatically gray out and disable inactive columns.</t>
        </is>
      </c>
    </row>
    <row r="50" ht="18" customHeight="1" s="29">
      <c r="A50" s="32" t="inlineStr">
        <is>
          <t>💡 Verification status displays '✔ Balanced' when individual shares match the total bill. If some people were away, PUB will show '❌ Unbalanced' to reflect the unallocated vacancy cost of empty days.</t>
        </is>
      </c>
    </row>
  </sheetData>
  <mergeCells count="14">
    <mergeCell ref="A44:G44"/>
    <mergeCell ref="A27:AG27"/>
    <mergeCell ref="A1:G1"/>
    <mergeCell ref="A6:G6"/>
    <mergeCell ref="A50:G50"/>
    <mergeCell ref="A48:G48"/>
    <mergeCell ref="A2:G2"/>
    <mergeCell ref="A42:G42"/>
    <mergeCell ref="A43:G43"/>
    <mergeCell ref="A11:G11"/>
    <mergeCell ref="A49:G49"/>
    <mergeCell ref="A47:G47"/>
    <mergeCell ref="A45:G45"/>
    <mergeCell ref="A46:G46"/>
  </mergeCells>
  <conditionalFormatting sqref="C28:AG40">
    <cfRule type="expression" priority="1" dxfId="0" stopIfTrue="1">
      <formula>C$28=""</formula>
    </cfRule>
  </conditionalFormatting>
  <dataValidations count="1">
    <dataValidation sqref="C9:F9" showDropDown="0" showInputMessage="0" showErrorMessage="0" allowBlank="0" errorTitle="Invalid Entry" error="Your entry is not in the list" promptTitle="Split Method" prompt="Please select a split method" type="list">
      <formula1>"By Days Present,Split Equally,Split (Top 3)"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Utility Bill Calculator</dc:creator>
  <dc:title>Household Utility Bill Calculator</dc:title>
  <dc:description>Dynamic utility and PUB bill calculator for co-living households.</dc:description>
  <dc:subject>Co-living Utility Splitter</dc:subject>
  <dcterms:created xsi:type="dcterms:W3CDTF">2026-07-28T07:02:34Z</dcterms:created>
  <dcterms:modified xsi:type="dcterms:W3CDTF">2026-07-31T07:15:42Z</dcterms:modified>
  <cp:lastModifiedBy>Utility Bill Calculator</cp:lastModifiedBy>
</cp:coreProperties>
</file>